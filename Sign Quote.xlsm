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esktop\"/>
    </mc:Choice>
  </mc:AlternateContent>
  <xr:revisionPtr revIDLastSave="0" documentId="13_ncr:1_{B5FD6EB4-3C92-4093-AC8E-8557978A312D}" xr6:coauthVersionLast="47" xr6:coauthVersionMax="47" xr10:uidLastSave="{00000000-0000-0000-0000-000000000000}"/>
  <bookViews>
    <workbookView xWindow="495" yWindow="480" windowWidth="28305" windowHeight="15120" tabRatio="943" xr2:uid="{00000000-000D-0000-FFFF-FFFF00000000}"/>
  </bookViews>
  <sheets>
    <sheet name="SIGN" sheetId="94" r:id="rId1"/>
  </sheets>
  <functionGroups builtInGroupCount="19"/>
  <definedNames>
    <definedName name="DataList">#REF!</definedName>
    <definedName name="Estimator">#N/A</definedName>
    <definedName name="_xlnm.Print_Area" localSheetId="0">SIGN!$A$1:$P$98</definedName>
    <definedName name="Vehicle">#REF!,#REF!,#REF!,#REF!,#REF!,#REF!</definedName>
    <definedName name="Vinyl_Substr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94" l="1"/>
  <c r="H3" i="94" l="1"/>
  <c r="H40" i="94" l="1"/>
  <c r="H58" i="94" l="1"/>
  <c r="F46" i="94" l="1"/>
  <c r="F47" i="94"/>
  <c r="I47" i="94" s="1"/>
  <c r="E47" i="94"/>
  <c r="H47" i="94" s="1"/>
  <c r="H16" i="94"/>
  <c r="I36" i="94"/>
  <c r="H37" i="94"/>
  <c r="F16" i="94" l="1"/>
  <c r="L60" i="94"/>
  <c r="E12" i="94"/>
  <c r="I16" i="94" s="1"/>
  <c r="F45" i="94"/>
  <c r="I45" i="94" s="1"/>
  <c r="E46" i="94"/>
  <c r="H46" i="94" s="1"/>
  <c r="F44" i="94"/>
  <c r="F43" i="94"/>
  <c r="E52" i="94"/>
  <c r="E45" i="94"/>
  <c r="H45" i="94" s="1"/>
  <c r="E42" i="94"/>
  <c r="E44" i="94"/>
  <c r="H44" i="94" s="1"/>
  <c r="E43" i="94"/>
  <c r="H43" i="94" s="1"/>
  <c r="I44" i="94" l="1"/>
  <c r="I46" i="94"/>
  <c r="I43" i="94"/>
  <c r="I37" i="94" l="1"/>
  <c r="H42" i="94"/>
  <c r="F42" i="94"/>
  <c r="I38" i="94"/>
  <c r="H38" i="94"/>
  <c r="H39" i="94"/>
  <c r="I39" i="94" s="1"/>
  <c r="H17" i="94"/>
  <c r="I17" i="94" s="1"/>
  <c r="H26" i="94"/>
  <c r="I26" i="94" s="1"/>
  <c r="H25" i="94"/>
  <c r="I25" i="94" s="1"/>
  <c r="H24" i="94"/>
  <c r="I24" i="94" s="1"/>
  <c r="H23" i="94"/>
  <c r="I23" i="94" s="1"/>
  <c r="H22" i="94"/>
  <c r="I22" i="94" s="1"/>
  <c r="H21" i="94"/>
  <c r="H20" i="94"/>
  <c r="I20" i="94" s="1"/>
  <c r="H19" i="94"/>
  <c r="I19" i="94" s="1"/>
  <c r="H18" i="94"/>
  <c r="I57" i="94"/>
  <c r="H56" i="94"/>
  <c r="I56" i="94" s="1"/>
  <c r="H55" i="94"/>
  <c r="I55" i="94" s="1"/>
  <c r="B52" i="94"/>
  <c r="H41" i="94"/>
  <c r="I41" i="94" s="1"/>
  <c r="I40" i="94"/>
  <c r="I14" i="94"/>
  <c r="H36" i="94" s="1"/>
  <c r="H33" i="94" l="1"/>
  <c r="I33" i="94" s="1"/>
  <c r="H34" i="94"/>
  <c r="I34" i="94" s="1"/>
  <c r="I42" i="94"/>
  <c r="I21" i="94"/>
  <c r="I18" i="94"/>
  <c r="H30" i="94"/>
  <c r="I30" i="94" s="1"/>
  <c r="H31" i="94"/>
  <c r="I31" i="94" s="1"/>
  <c r="H35" i="94"/>
  <c r="I35" i="94" s="1"/>
  <c r="H32" i="94"/>
  <c r="I32" i="94" s="1"/>
  <c r="I27" i="94" l="1"/>
  <c r="I29" i="94" l="1"/>
  <c r="I48" i="94" s="1"/>
  <c r="I49" i="94" s="1"/>
  <c r="I50" i="94" l="1"/>
  <c r="C109" i="94" s="1"/>
  <c r="I52" i="94" l="1"/>
  <c r="I60" i="94" s="1"/>
  <c r="C108" i="94"/>
  <c r="C110" i="94" s="1"/>
  <c r="I59" i="94" l="1"/>
  <c r="I74" i="94"/>
  <c r="I62" i="94"/>
  <c r="I73" i="94"/>
  <c r="I61" i="94"/>
  <c r="I65" i="94" l="1"/>
  <c r="I64" i="94"/>
</calcChain>
</file>

<file path=xl/sharedStrings.xml><?xml version="1.0" encoding="utf-8"?>
<sst xmlns="http://schemas.openxmlformats.org/spreadsheetml/2006/main" count="135" uniqueCount="97">
  <si>
    <t>Sintra or Coro (10mil)</t>
  </si>
  <si>
    <t>Crezon</t>
  </si>
  <si>
    <t>3mm Alupanel</t>
  </si>
  <si>
    <t>6mm Alupanel</t>
  </si>
  <si>
    <t>3mm Arena Board</t>
  </si>
  <si>
    <t>Polystyrene</t>
  </si>
  <si>
    <t>Aluminum (0.080)</t>
  </si>
  <si>
    <t>6mm Cast Acrylic</t>
  </si>
  <si>
    <t>Rate</t>
  </si>
  <si>
    <t>Additional comments</t>
  </si>
  <si>
    <t>Factor</t>
  </si>
  <si>
    <t>ADJUSTED PRICE</t>
  </si>
  <si>
    <t>SUB-TOTAL ADDED COSTS</t>
  </si>
  <si>
    <t>QUANTITY</t>
  </si>
  <si>
    <t>Quantity adjustments</t>
  </si>
  <si>
    <t>TOTAL BASE COST</t>
  </si>
  <si>
    <t>Router Charges ($/hour)</t>
  </si>
  <si>
    <t>SQUARE FEET</t>
  </si>
  <si>
    <t>DESIGN HOURS</t>
  </si>
  <si>
    <t>Hours</t>
  </si>
  <si>
    <t>Substrate Options (Select 1 only)</t>
  </si>
  <si>
    <t>Additional sign options (Select all that apply)</t>
  </si>
  <si>
    <t>ROUTER CHARGE (HOURS)</t>
  </si>
  <si>
    <t>CONFIDENTIAL INTERNAL QUOTE</t>
  </si>
  <si>
    <t>GROMMETS, DRILL HOLES / SIGN</t>
  </si>
  <si>
    <t>BASE PRICE</t>
  </si>
  <si>
    <t>GST</t>
  </si>
  <si>
    <t>RAV (full colour reflective)</t>
  </si>
  <si>
    <t>Reflective die cut copy (3 year life)</t>
  </si>
  <si>
    <t>Step stakes</t>
  </si>
  <si>
    <t>Double sided</t>
  </si>
  <si>
    <t xml:space="preserve">Reflective backgrounds (sheeted, 3 year life) </t>
  </si>
  <si>
    <t xml:space="preserve">Grommets or drill holes </t>
  </si>
  <si>
    <t>Mounting Pins</t>
  </si>
  <si>
    <t>Cut Contour &amp; $20 setup charge</t>
  </si>
  <si>
    <t>SHOP LABOUR (HOURS)</t>
  </si>
  <si>
    <t>MOUNTING PINS / SIGN</t>
  </si>
  <si>
    <t>ENTER SIGN DESCRIPTION HERE:</t>
  </si>
  <si>
    <t>Outsource charges</t>
  </si>
  <si>
    <t>OTHER CHARGES:</t>
  </si>
  <si>
    <t>OUTSOURCE COST</t>
  </si>
  <si>
    <t>Painted/PC backgrounds add (min $40)</t>
  </si>
  <si>
    <t>SIGN LENGTH (LONG DIMENSION) *max 120"</t>
  </si>
  <si>
    <t>ESTIMATOR:</t>
  </si>
  <si>
    <t>SIGN QUOTING WORKSHEET</t>
  </si>
  <si>
    <t>SUPPLIER</t>
  </si>
  <si>
    <t>TO</t>
  </si>
  <si>
    <t>SIGN HEIGHT (SHORT DIMENSION)  *max 60"</t>
  </si>
  <si>
    <t>Coro (Full colour,  direct print or 1 colour cut vinyl)</t>
  </si>
  <si>
    <t>Custom</t>
  </si>
  <si>
    <t>Column1</t>
  </si>
  <si>
    <t>Dry Erase/ Anti Grafitti Lam</t>
  </si>
  <si>
    <t>1/2" Standoffs</t>
  </si>
  <si>
    <t>3/4" Standoffs</t>
  </si>
  <si>
    <t>1" Standoffs</t>
  </si>
  <si>
    <t>Design time @ $70/hr</t>
  </si>
  <si>
    <t>Shop Labour @ $70/hr</t>
  </si>
  <si>
    <t>PST</t>
  </si>
  <si>
    <t>Yes</t>
  </si>
  <si>
    <t>No</t>
  </si>
  <si>
    <t>Yes/No</t>
  </si>
  <si>
    <t>Description</t>
  </si>
  <si>
    <t>1/2" Caps (Set of 4)</t>
  </si>
  <si>
    <t>LTV, CAV, GHT, SHEET A6</t>
  </si>
  <si>
    <t xml:space="preserve"> </t>
  </si>
  <si>
    <t>4" x 4" Treated Wood</t>
  </si>
  <si>
    <t>Reboundable White</t>
  </si>
  <si>
    <t>Standoffs</t>
  </si>
  <si>
    <t>Select Size</t>
  </si>
  <si>
    <t>Metal Posts</t>
  </si>
  <si>
    <t>Wood Posts</t>
  </si>
  <si>
    <t>6'</t>
  </si>
  <si>
    <t>8'</t>
  </si>
  <si>
    <t>10'</t>
  </si>
  <si>
    <t>12'</t>
  </si>
  <si>
    <t>42"</t>
  </si>
  <si>
    <t>48"</t>
  </si>
  <si>
    <t>66"</t>
  </si>
  <si>
    <t>Check Box For
Custom Discount</t>
  </si>
  <si>
    <t>Brackets</t>
  </si>
  <si>
    <t>HS-1</t>
  </si>
  <si>
    <t>FB-021</t>
  </si>
  <si>
    <t>40" Gear Clamp</t>
  </si>
  <si>
    <t xml:space="preserve">TOTAL COST BEFORE TAX &amp; DISC </t>
  </si>
  <si>
    <t>IS PST SELF ASSESSED?</t>
  </si>
  <si>
    <t>SUB TOTAL</t>
  </si>
  <si>
    <t>Cust Discount</t>
  </si>
  <si>
    <t>Qty Discount</t>
  </si>
  <si>
    <t>Select Substrate</t>
  </si>
  <si>
    <t>Enter Custom Description</t>
  </si>
  <si>
    <t>Bracket Add On</t>
  </si>
  <si>
    <r>
      <t xml:space="preserve">2 </t>
    </r>
    <r>
      <rPr>
        <b/>
        <sz val="8"/>
        <color theme="1"/>
        <rFont val="Calibri"/>
        <family val="2"/>
        <scheme val="minor"/>
      </rPr>
      <t>3/8</t>
    </r>
    <r>
      <rPr>
        <sz val="11"/>
        <color theme="1"/>
        <rFont val="Calibri"/>
        <family val="2"/>
        <scheme val="minor"/>
      </rPr>
      <t xml:space="preserve"> Metal Posts</t>
    </r>
  </si>
  <si>
    <t>TAX TOTAL</t>
  </si>
  <si>
    <t>FINAL TOTAL</t>
  </si>
  <si>
    <t>TOTAL PER SIGN</t>
  </si>
  <si>
    <t>SELF ASSESED PST</t>
  </si>
  <si>
    <t>{INSERT_NAME_HERE}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</si>
</sst>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9" formatCode="&quot;$&quot;#,##0.00"/>
    <numFmt numFmtId="170" formatCode="&quot;$&quot;#,##0"/>
    <numFmt numFmtId="173" formatCode="0\'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5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FF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thick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1" tint="0.14999847407452621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rgb="FFFF0000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FF0000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medium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ck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rgb="FFFF000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theme="0" tint="-4.9989318521683403E-2"/>
      </bottom>
      <diagonal/>
    </border>
    <border>
      <left/>
      <right style="thin">
        <color rgb="FF3F3F3F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6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8" applyBorder="0">
      <alignment horizontal="left" vertical="top" wrapText="1"/>
      <protection locked="0"/>
    </xf>
    <xf numFmtId="0" fontId="8" fillId="4" borderId="14" applyNumberForma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169" fontId="1" fillId="0" borderId="12"/>
    <xf numFmtId="0" fontId="6" fillId="8" borderId="0" applyNumberFormat="0" applyBorder="0" applyAlignment="0" applyProtection="0"/>
    <xf numFmtId="0" fontId="1" fillId="9" borderId="0" applyNumberFormat="0" applyBorder="0" applyAlignment="0" applyProtection="0"/>
    <xf numFmtId="0" fontId="9" fillId="11" borderId="0">
      <alignment horizontal="left"/>
    </xf>
    <xf numFmtId="0" fontId="2" fillId="12" borderId="0">
      <alignment horizontal="right"/>
    </xf>
    <xf numFmtId="0" fontId="11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4" borderId="14">
      <alignment horizontal="left"/>
      <protection locked="0"/>
    </xf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8" fillId="17" borderId="0" applyNumberFormat="0" applyBorder="0" applyAlignment="0" applyProtection="0"/>
    <xf numFmtId="0" fontId="6" fillId="18" borderId="0" applyNumberFormat="0" applyBorder="0" applyAlignment="0" applyProtection="0"/>
    <xf numFmtId="0" fontId="1" fillId="20" borderId="0" applyNumberFormat="0" applyBorder="0" applyAlignment="0" applyProtection="0"/>
    <xf numFmtId="0" fontId="20" fillId="0" borderId="0"/>
    <xf numFmtId="9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/>
    <xf numFmtId="167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/>
    <xf numFmtId="167" fontId="11" fillId="0" borderId="0" applyFont="0" applyFill="0" applyBorder="0" applyAlignment="0" applyProtection="0"/>
    <xf numFmtId="0" fontId="7" fillId="2" borderId="7">
      <alignment horizontal="left" vertical="top" wrapText="1"/>
      <protection locked="0"/>
    </xf>
    <xf numFmtId="0" fontId="1" fillId="0" borderId="11">
      <alignment horizontal="left" vertical="top" wrapText="1"/>
      <protection locked="0"/>
    </xf>
    <xf numFmtId="0" fontId="5" fillId="0" borderId="11">
      <alignment horizontal="left" vertical="top" wrapText="1"/>
      <protection locked="0"/>
    </xf>
    <xf numFmtId="0" fontId="9" fillId="11" borderId="0">
      <alignment horizontal="center" vertical="center" textRotation="90"/>
    </xf>
  </cellStyleXfs>
  <cellXfs count="187">
    <xf numFmtId="0" fontId="0" fillId="0" borderId="0" xfId="0"/>
    <xf numFmtId="0" fontId="2" fillId="0" borderId="0" xfId="0" applyFont="1"/>
    <xf numFmtId="0" fontId="4" fillId="2" borderId="7" xfId="0" applyFont="1" applyFill="1" applyBorder="1" applyProtection="1">
      <protection locked="0"/>
    </xf>
    <xf numFmtId="169" fontId="0" fillId="0" borderId="0" xfId="1" applyNumberFormat="1" applyFont="1" applyProtection="1"/>
    <xf numFmtId="0" fontId="4" fillId="3" borderId="2" xfId="0" applyFont="1" applyFill="1" applyBorder="1" applyProtection="1">
      <protection locked="0"/>
    </xf>
    <xf numFmtId="0" fontId="6" fillId="0" borderId="0" xfId="0" applyFont="1"/>
    <xf numFmtId="9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Protection="1">
      <protection locked="0"/>
    </xf>
    <xf numFmtId="0" fontId="0" fillId="3" borderId="3" xfId="0" applyFill="1" applyBorder="1"/>
    <xf numFmtId="169" fontId="0" fillId="0" borderId="0" xfId="0" applyNumberFormat="1"/>
    <xf numFmtId="0" fontId="0" fillId="3" borderId="0" xfId="0" applyFill="1" applyProtection="1">
      <protection locked="0"/>
    </xf>
    <xf numFmtId="169" fontId="1" fillId="9" borderId="0" xfId="10" applyNumberFormat="1" applyBorder="1"/>
    <xf numFmtId="0" fontId="6" fillId="10" borderId="0" xfId="0" applyFont="1" applyFill="1"/>
    <xf numFmtId="0" fontId="8" fillId="4" borderId="14" xfId="4" applyAlignment="1"/>
    <xf numFmtId="0" fontId="4" fillId="2" borderId="0" xfId="0" applyFont="1" applyFill="1"/>
    <xf numFmtId="49" fontId="0" fillId="2" borderId="0" xfId="0" applyNumberFormat="1" applyFill="1"/>
    <xf numFmtId="0" fontId="0" fillId="2" borderId="20" xfId="0" applyFill="1" applyBorder="1"/>
    <xf numFmtId="0" fontId="1" fillId="2" borderId="0" xfId="7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21" xfId="0" applyFont="1" applyFill="1" applyBorder="1"/>
    <xf numFmtId="0" fontId="0" fillId="2" borderId="21" xfId="0" applyFill="1" applyBorder="1"/>
    <xf numFmtId="0" fontId="8" fillId="4" borderId="14" xfId="4" applyAlignment="1" applyProtection="1">
      <protection locked="0"/>
    </xf>
    <xf numFmtId="9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6" fillId="5" borderId="0" xfId="5" applyAlignment="1" applyProtection="1">
      <alignment horizontal="center"/>
      <protection locked="0"/>
    </xf>
    <xf numFmtId="173" fontId="0" fillId="2" borderId="0" xfId="0" applyNumberFormat="1" applyFill="1"/>
    <xf numFmtId="173" fontId="0" fillId="2" borderId="22" xfId="0" applyNumberFormat="1" applyFill="1" applyBorder="1"/>
    <xf numFmtId="173" fontId="0" fillId="2" borderId="23" xfId="0" applyNumberFormat="1" applyFill="1" applyBorder="1"/>
    <xf numFmtId="173" fontId="0" fillId="2" borderId="24" xfId="0" applyNumberFormat="1" applyFill="1" applyBorder="1"/>
    <xf numFmtId="0" fontId="1" fillId="6" borderId="0" xfId="6" applyBorder="1"/>
    <xf numFmtId="0" fontId="14" fillId="14" borderId="0" xfId="16"/>
    <xf numFmtId="10" fontId="0" fillId="2" borderId="0" xfId="0" applyNumberFormat="1" applyFill="1"/>
    <xf numFmtId="1" fontId="0" fillId="0" borderId="0" xfId="0" applyNumberFormat="1"/>
    <xf numFmtId="9" fontId="1" fillId="0" borderId="19" xfId="3" applyNumberFormat="1" applyBorder="1" applyAlignment="1">
      <protection locked="0"/>
    </xf>
    <xf numFmtId="169" fontId="0" fillId="0" borderId="0" xfId="0" applyNumberFormat="1" applyAlignment="1">
      <alignment horizontal="center" vertical="center"/>
    </xf>
    <xf numFmtId="0" fontId="0" fillId="13" borderId="0" xfId="0" applyFill="1"/>
    <xf numFmtId="169" fontId="0" fillId="13" borderId="0" xfId="0" applyNumberFormat="1" applyFill="1"/>
    <xf numFmtId="0" fontId="2" fillId="13" borderId="0" xfId="0" applyFont="1" applyFill="1" applyAlignment="1">
      <alignment horizontal="center"/>
    </xf>
    <xf numFmtId="0" fontId="0" fillId="13" borderId="0" xfId="0" applyFill="1" applyProtection="1">
      <protection locked="0"/>
    </xf>
    <xf numFmtId="169" fontId="7" fillId="13" borderId="0" xfId="0" applyNumberFormat="1" applyFont="1" applyFill="1"/>
    <xf numFmtId="0" fontId="17" fillId="11" borderId="30" xfId="0" applyFont="1" applyFill="1" applyBorder="1"/>
    <xf numFmtId="0" fontId="17" fillId="11" borderId="0" xfId="16" applyFont="1" applyFill="1"/>
    <xf numFmtId="0" fontId="0" fillId="16" borderId="0" xfId="0" applyFill="1"/>
    <xf numFmtId="0" fontId="0" fillId="16" borderId="26" xfId="0" applyFill="1" applyBorder="1"/>
    <xf numFmtId="0" fontId="2" fillId="16" borderId="0" xfId="6" applyFont="1" applyFill="1" applyAlignment="1" applyProtection="1">
      <alignment horizontal="right"/>
    </xf>
    <xf numFmtId="0" fontId="4" fillId="0" borderId="30" xfId="0" applyFont="1" applyBorder="1" applyAlignment="1">
      <alignment horizontal="right"/>
    </xf>
    <xf numFmtId="0" fontId="4" fillId="0" borderId="30" xfId="0" applyFont="1" applyBorder="1"/>
    <xf numFmtId="0" fontId="2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0" fillId="2" borderId="0" xfId="0" applyFill="1" applyAlignment="1" applyProtection="1">
      <alignment horizontal="center"/>
      <protection locked="0"/>
    </xf>
    <xf numFmtId="0" fontId="0" fillId="2" borderId="5" xfId="0" applyFill="1" applyBorder="1" applyProtection="1">
      <protection locked="0"/>
    </xf>
    <xf numFmtId="0" fontId="0" fillId="2" borderId="4" xfId="0" applyFill="1" applyBorder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2" xfId="0" applyFill="1" applyBorder="1"/>
    <xf numFmtId="169" fontId="1" fillId="2" borderId="12" xfId="8" applyFill="1" applyProtection="1">
      <protection locked="0"/>
    </xf>
    <xf numFmtId="0" fontId="15" fillId="15" borderId="0" xfId="17" applyAlignment="1">
      <alignment horizontal="center" vertical="center"/>
    </xf>
    <xf numFmtId="0" fontId="0" fillId="2" borderId="0" xfId="0" applyFill="1" applyAlignment="1" applyProtection="1">
      <alignment horizontal="right"/>
      <protection locked="0"/>
    </xf>
    <xf numFmtId="169" fontId="0" fillId="13" borderId="1" xfId="0" applyNumberFormat="1" applyFill="1" applyBorder="1"/>
    <xf numFmtId="0" fontId="0" fillId="13" borderId="1" xfId="0" applyFill="1" applyBorder="1"/>
    <xf numFmtId="10" fontId="9" fillId="5" borderId="0" xfId="5" applyNumberFormat="1" applyFont="1" applyAlignment="1">
      <alignment horizontal="center" vertical="center"/>
    </xf>
    <xf numFmtId="0" fontId="15" fillId="15" borderId="3" xfId="17" applyBorder="1" applyProtection="1"/>
    <xf numFmtId="0" fontId="15" fillId="15" borderId="32" xfId="17" applyBorder="1" applyProtection="1"/>
    <xf numFmtId="0" fontId="15" fillId="15" borderId="3" xfId="17" applyBorder="1"/>
    <xf numFmtId="9" fontId="0" fillId="13" borderId="3" xfId="0" applyNumberFormat="1" applyFill="1" applyBorder="1" applyAlignment="1">
      <alignment horizontal="right"/>
    </xf>
    <xf numFmtId="165" fontId="0" fillId="13" borderId="3" xfId="0" applyNumberFormat="1" applyFill="1" applyBorder="1" applyAlignment="1">
      <alignment horizontal="right"/>
    </xf>
    <xf numFmtId="170" fontId="1" fillId="13" borderId="3" xfId="3" applyNumberFormat="1" applyFill="1" applyBorder="1" applyAlignment="1">
      <protection locked="0"/>
    </xf>
    <xf numFmtId="166" fontId="0" fillId="13" borderId="3" xfId="0" applyNumberFormat="1" applyFill="1" applyBorder="1" applyAlignment="1">
      <alignment horizontal="right"/>
    </xf>
    <xf numFmtId="0" fontId="0" fillId="13" borderId="3" xfId="0" applyFill="1" applyBorder="1" applyAlignment="1" applyProtection="1">
      <alignment horizontal="right"/>
      <protection locked="0"/>
    </xf>
    <xf numFmtId="0" fontId="0" fillId="13" borderId="3" xfId="0" applyFill="1" applyBorder="1" applyAlignment="1">
      <alignment horizontal="right"/>
    </xf>
    <xf numFmtId="0" fontId="0" fillId="10" borderId="0" xfId="0" applyFill="1"/>
    <xf numFmtId="0" fontId="0" fillId="2" borderId="34" xfId="0" applyFill="1" applyBorder="1"/>
    <xf numFmtId="0" fontId="0" fillId="2" borderId="35" xfId="0" applyFill="1" applyBorder="1"/>
    <xf numFmtId="0" fontId="3" fillId="2" borderId="0" xfId="0" applyFont="1" applyFill="1" applyAlignment="1">
      <alignment horizontal="right"/>
    </xf>
    <xf numFmtId="165" fontId="0" fillId="2" borderId="37" xfId="0" applyNumberFormat="1" applyFill="1" applyBorder="1"/>
    <xf numFmtId="0" fontId="0" fillId="2" borderId="37" xfId="0" applyFill="1" applyBorder="1"/>
    <xf numFmtId="169" fontId="0" fillId="2" borderId="37" xfId="0" applyNumberFormat="1" applyFill="1" applyBorder="1"/>
    <xf numFmtId="0" fontId="0" fillId="2" borderId="37" xfId="0" applyFill="1" applyBorder="1" applyAlignment="1">
      <alignment horizontal="right"/>
    </xf>
    <xf numFmtId="9" fontId="0" fillId="2" borderId="39" xfId="3" applyNumberFormat="1" applyFont="1" applyFill="1" applyBorder="1" applyAlignment="1">
      <alignment horizontal="right"/>
      <protection locked="0"/>
    </xf>
    <xf numFmtId="0" fontId="0" fillId="2" borderId="36" xfId="0" applyFill="1" applyBorder="1"/>
    <xf numFmtId="0" fontId="0" fillId="2" borderId="40" xfId="0" applyFill="1" applyBorder="1"/>
    <xf numFmtId="169" fontId="0" fillId="2" borderId="36" xfId="0" applyNumberFormat="1" applyFill="1" applyBorder="1"/>
    <xf numFmtId="0" fontId="0" fillId="0" borderId="37" xfId="0" applyBorder="1"/>
    <xf numFmtId="0" fontId="0" fillId="2" borderId="36" xfId="0" applyFill="1" applyBorder="1" applyAlignment="1">
      <alignment horizontal="right"/>
    </xf>
    <xf numFmtId="165" fontId="0" fillId="2" borderId="36" xfId="0" applyNumberFormat="1" applyFill="1" applyBorder="1"/>
    <xf numFmtId="169" fontId="7" fillId="13" borderId="37" xfId="0" applyNumberFormat="1" applyFont="1" applyFill="1" applyBorder="1"/>
    <xf numFmtId="0" fontId="2" fillId="13" borderId="37" xfId="0" applyFont="1" applyFill="1" applyBorder="1" applyAlignment="1">
      <alignment horizontal="center"/>
    </xf>
    <xf numFmtId="0" fontId="0" fillId="13" borderId="37" xfId="0" applyFill="1" applyBorder="1"/>
    <xf numFmtId="0" fontId="12" fillId="13" borderId="14" xfId="4" applyFont="1" applyFill="1" applyAlignment="1" applyProtection="1">
      <alignment horizontal="left"/>
      <protection locked="0"/>
    </xf>
    <xf numFmtId="0" fontId="0" fillId="2" borderId="41" xfId="3" applyFont="1" applyFill="1" applyBorder="1" applyAlignment="1">
      <protection locked="0"/>
    </xf>
    <xf numFmtId="0" fontId="12" fillId="13" borderId="14" xfId="15" applyFill="1">
      <alignment horizontal="left"/>
      <protection locked="0"/>
    </xf>
    <xf numFmtId="0" fontId="12" fillId="13" borderId="43" xfId="15" applyFill="1" applyBorder="1">
      <alignment horizontal="left"/>
      <protection locked="0"/>
    </xf>
    <xf numFmtId="0" fontId="0" fillId="2" borderId="44" xfId="3" applyFont="1" applyFill="1" applyBorder="1" applyAlignment="1">
      <protection locked="0"/>
    </xf>
    <xf numFmtId="0" fontId="0" fillId="2" borderId="45" xfId="0" applyFill="1" applyBorder="1" applyAlignment="1">
      <alignment horizontal="left"/>
    </xf>
    <xf numFmtId="0" fontId="0" fillId="2" borderId="45" xfId="0" applyFill="1" applyBorder="1"/>
    <xf numFmtId="12" fontId="0" fillId="2" borderId="45" xfId="0" applyNumberFormat="1" applyFill="1" applyBorder="1"/>
    <xf numFmtId="169" fontId="0" fillId="2" borderId="46" xfId="0" applyNumberFormat="1" applyFill="1" applyBorder="1"/>
    <xf numFmtId="169" fontId="0" fillId="2" borderId="47" xfId="0" applyNumberFormat="1" applyFill="1" applyBorder="1"/>
    <xf numFmtId="0" fontId="2" fillId="2" borderId="0" xfId="0" applyFont="1" applyFill="1" applyAlignment="1">
      <alignment horizontal="center"/>
    </xf>
    <xf numFmtId="0" fontId="17" fillId="11" borderId="0" xfId="0" applyFont="1" applyFill="1"/>
    <xf numFmtId="169" fontId="17" fillId="11" borderId="0" xfId="0" applyNumberFormat="1" applyFont="1" applyFill="1"/>
    <xf numFmtId="169" fontId="19" fillId="11" borderId="30" xfId="0" applyNumberFormat="1" applyFont="1" applyFill="1" applyBorder="1"/>
    <xf numFmtId="0" fontId="0" fillId="19" borderId="0" xfId="0" applyFill="1"/>
    <xf numFmtId="0" fontId="6" fillId="19" borderId="0" xfId="0" applyFont="1" applyFill="1"/>
    <xf numFmtId="0" fontId="9" fillId="19" borderId="0" xfId="0" applyFont="1" applyFill="1" applyAlignment="1">
      <alignment horizontal="right"/>
    </xf>
    <xf numFmtId="0" fontId="9" fillId="19" borderId="0" xfId="0" applyFont="1" applyFill="1"/>
    <xf numFmtId="0" fontId="9" fillId="19" borderId="0" xfId="11" applyFill="1">
      <alignment horizontal="left"/>
    </xf>
    <xf numFmtId="0" fontId="6" fillId="10" borderId="0" xfId="9" applyFill="1"/>
    <xf numFmtId="0" fontId="0" fillId="10" borderId="0" xfId="0" applyFill="1" applyAlignment="1" applyProtection="1">
      <alignment horizontal="right"/>
      <protection locked="0"/>
    </xf>
    <xf numFmtId="0" fontId="0" fillId="10" borderId="0" xfId="0" applyFill="1" applyAlignment="1">
      <alignment horizontal="left"/>
    </xf>
    <xf numFmtId="0" fontId="0" fillId="10" borderId="0" xfId="0" applyFill="1" applyAlignment="1">
      <alignment horizontal="right"/>
    </xf>
    <xf numFmtId="0" fontId="0" fillId="10" borderId="0" xfId="0" applyFill="1" applyProtection="1">
      <protection locked="0"/>
    </xf>
    <xf numFmtId="169" fontId="6" fillId="10" borderId="0" xfId="0" applyNumberFormat="1" applyFont="1" applyFill="1"/>
    <xf numFmtId="169" fontId="9" fillId="10" borderId="0" xfId="4" applyNumberFormat="1" applyFont="1" applyFill="1" applyBorder="1" applyProtection="1"/>
    <xf numFmtId="0" fontId="6" fillId="19" borderId="0" xfId="0" applyFont="1" applyFill="1" applyAlignment="1">
      <alignment horizontal="right"/>
    </xf>
    <xf numFmtId="0" fontId="13" fillId="19" borderId="0" xfId="0" applyFont="1" applyFill="1" applyAlignment="1">
      <alignment horizontal="left"/>
    </xf>
    <xf numFmtId="0" fontId="18" fillId="17" borderId="0" xfId="18" applyAlignment="1"/>
    <xf numFmtId="169" fontId="18" fillId="17" borderId="25" xfId="18" applyNumberFormat="1" applyBorder="1" applyAlignment="1" applyProtection="1">
      <alignment vertical="center"/>
    </xf>
    <xf numFmtId="0" fontId="18" fillId="17" borderId="0" xfId="18"/>
    <xf numFmtId="169" fontId="18" fillId="17" borderId="0" xfId="18" applyNumberFormat="1" applyBorder="1" applyAlignment="1" applyProtection="1">
      <alignment vertical="center"/>
    </xf>
    <xf numFmtId="0" fontId="18" fillId="17" borderId="0" xfId="18" applyAlignment="1">
      <alignment horizontal="right"/>
    </xf>
    <xf numFmtId="0" fontId="11" fillId="0" borderId="0" xfId="13"/>
    <xf numFmtId="0" fontId="17" fillId="2" borderId="0" xfId="0" applyFont="1" applyFill="1"/>
    <xf numFmtId="0" fontId="6" fillId="14" borderId="0" xfId="16" applyFont="1"/>
    <xf numFmtId="169" fontId="7" fillId="13" borderId="37" xfId="0" applyNumberFormat="1" applyFont="1" applyFill="1" applyBorder="1" applyAlignment="1">
      <alignment horizontal="right"/>
    </xf>
    <xf numFmtId="0" fontId="1" fillId="20" borderId="0" xfId="20"/>
    <xf numFmtId="164" fontId="1" fillId="20" borderId="0" xfId="20" applyNumberFormat="1" applyAlignment="1">
      <alignment horizontal="right"/>
    </xf>
    <xf numFmtId="10" fontId="18" fillId="17" borderId="0" xfId="18" applyNumberFormat="1"/>
    <xf numFmtId="0" fontId="0" fillId="0" borderId="33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5" fillId="12" borderId="3" xfId="17" applyFill="1" applyBorder="1" applyProtection="1">
      <protection locked="0"/>
    </xf>
    <xf numFmtId="0" fontId="15" fillId="12" borderId="32" xfId="17" applyFill="1" applyBorder="1" applyProtection="1">
      <protection locked="0"/>
    </xf>
    <xf numFmtId="9" fontId="0" fillId="13" borderId="31" xfId="0" applyNumberFormat="1" applyFill="1" applyBorder="1" applyAlignment="1">
      <alignment horizontal="center" vertical="center"/>
    </xf>
    <xf numFmtId="0" fontId="0" fillId="2" borderId="0" xfId="0" applyFill="1"/>
    <xf numFmtId="167" fontId="0" fillId="2" borderId="8" xfId="0" applyNumberFormat="1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left" vertical="top" wrapText="1"/>
      <protection locked="0"/>
    </xf>
    <xf numFmtId="0" fontId="0" fillId="2" borderId="13" xfId="0" applyFill="1" applyBorder="1" applyAlignment="1" applyProtection="1">
      <alignment horizontal="left" vertical="top" wrapText="1"/>
      <protection locked="0"/>
    </xf>
    <xf numFmtId="0" fontId="0" fillId="2" borderId="9" xfId="0" applyFill="1" applyBorder="1" applyAlignment="1" applyProtection="1">
      <alignment horizontal="left" vertical="top" wrapText="1"/>
      <protection locked="0"/>
    </xf>
    <xf numFmtId="10" fontId="2" fillId="13" borderId="1" xfId="0" applyNumberFormat="1" applyFont="1" applyFill="1" applyBorder="1" applyAlignment="1">
      <alignment horizontal="right"/>
    </xf>
    <xf numFmtId="0" fontId="19" fillId="11" borderId="30" xfId="0" applyFont="1" applyFill="1" applyBorder="1" applyAlignment="1">
      <alignment horizontal="right"/>
    </xf>
    <xf numFmtId="10" fontId="17" fillId="11" borderId="0" xfId="0" applyNumberFormat="1" applyFont="1" applyFill="1" applyAlignment="1">
      <alignment horizontal="right"/>
    </xf>
    <xf numFmtId="0" fontId="2" fillId="20" borderId="0" xfId="20" applyFont="1" applyAlignment="1">
      <alignment horizontal="right"/>
    </xf>
    <xf numFmtId="0" fontId="18" fillId="17" borderId="0" xfId="18" applyAlignment="1">
      <alignment horizontal="right"/>
    </xf>
    <xf numFmtId="0" fontId="18" fillId="17" borderId="0" xfId="18" applyBorder="1" applyAlignment="1">
      <alignment horizontal="right"/>
    </xf>
    <xf numFmtId="0" fontId="9" fillId="10" borderId="0" xfId="0" applyFont="1" applyFill="1" applyAlignment="1">
      <alignment horizontal="center"/>
    </xf>
    <xf numFmtId="0" fontId="9" fillId="10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2" borderId="36" xfId="0" applyFill="1" applyBorder="1" applyAlignment="1">
      <alignment horizontal="left"/>
    </xf>
    <xf numFmtId="0" fontId="0" fillId="2" borderId="42" xfId="0" applyFill="1" applyBorder="1" applyAlignment="1">
      <alignment horizontal="left"/>
    </xf>
    <xf numFmtId="0" fontId="0" fillId="2" borderId="37" xfId="0" applyFill="1" applyBorder="1" applyAlignment="1">
      <alignment horizontal="left"/>
    </xf>
    <xf numFmtId="0" fontId="0" fillId="2" borderId="33" xfId="0" applyFill="1" applyBorder="1" applyAlignment="1">
      <alignment horizontal="left"/>
    </xf>
    <xf numFmtId="0" fontId="0" fillId="2" borderId="36" xfId="0" applyFill="1" applyBorder="1" applyAlignment="1" applyProtection="1">
      <alignment horizontal="left"/>
      <protection locked="0"/>
    </xf>
    <xf numFmtId="0" fontId="0" fillId="2" borderId="42" xfId="0" applyFill="1" applyBorder="1" applyAlignment="1" applyProtection="1">
      <alignment horizontal="left"/>
      <protection locked="0"/>
    </xf>
    <xf numFmtId="0" fontId="9" fillId="19" borderId="0" xfId="5" applyFont="1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16" xfId="0" applyFill="1" applyBorder="1" applyAlignment="1">
      <alignment horizontal="right"/>
    </xf>
    <xf numFmtId="0" fontId="9" fillId="19" borderId="0" xfId="11" applyFill="1">
      <alignment horizontal="left"/>
    </xf>
    <xf numFmtId="0" fontId="8" fillId="4" borderId="27" xfId="4" applyBorder="1" applyAlignment="1" applyProtection="1">
      <alignment horizontal="left"/>
      <protection locked="0"/>
    </xf>
    <xf numFmtId="0" fontId="8" fillId="4" borderId="28" xfId="4" applyBorder="1" applyAlignment="1" applyProtection="1">
      <alignment horizontal="left"/>
      <protection locked="0"/>
    </xf>
    <xf numFmtId="0" fontId="8" fillId="4" borderId="29" xfId="4" applyBorder="1" applyAlignment="1" applyProtection="1">
      <alignment horizontal="left"/>
      <protection locked="0"/>
    </xf>
    <xf numFmtId="0" fontId="0" fillId="2" borderId="38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13" fillId="19" borderId="0" xfId="0" applyFont="1" applyFill="1"/>
    <xf numFmtId="0" fontId="3" fillId="2" borderId="0" xfId="0" applyFont="1" applyFill="1" applyAlignment="1">
      <alignment horizontal="left"/>
    </xf>
    <xf numFmtId="0" fontId="6" fillId="18" borderId="0" xfId="19" applyAlignment="1">
      <alignment horizontal="center" vertical="top" wrapText="1"/>
    </xf>
    <xf numFmtId="0" fontId="6" fillId="18" borderId="0" xfId="19" applyAlignment="1">
      <alignment horizontal="center" vertical="top"/>
    </xf>
    <xf numFmtId="9" fontId="6" fillId="18" borderId="0" xfId="19" applyNumberFormat="1" applyAlignment="1" applyProtection="1">
      <alignment horizontal="center" vertical="center"/>
      <protection locked="0"/>
    </xf>
    <xf numFmtId="9" fontId="18" fillId="17" borderId="25" xfId="18" applyNumberFormat="1" applyBorder="1" applyAlignment="1" applyProtection="1">
      <alignment horizontal="center" vertical="center"/>
    </xf>
    <xf numFmtId="9" fontId="18" fillId="17" borderId="0" xfId="18" applyNumberFormat="1" applyBorder="1" applyAlignment="1" applyProtection="1">
      <alignment horizontal="center" vertical="center"/>
    </xf>
    <xf numFmtId="0" fontId="18" fillId="17" borderId="0" xfId="18" applyAlignment="1" applyProtection="1">
      <alignment horizontal="center" vertical="center"/>
      <protection locked="0"/>
    </xf>
    <xf numFmtId="0" fontId="18" fillId="17" borderId="0" xfId="18" applyAlignment="1">
      <alignment horizontal="center" vertical="center"/>
    </xf>
    <xf numFmtId="0" fontId="0" fillId="2" borderId="18" xfId="0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0" fontId="2" fillId="2" borderId="0" xfId="0" applyFont="1" applyFill="1" applyAlignment="1" applyProtection="1">
      <alignment horizontal="center" vertical="center"/>
      <protection locked="0"/>
    </xf>
    <xf numFmtId="169" fontId="18" fillId="17" borderId="0" xfId="18" applyNumberFormat="1" applyAlignment="1">
      <alignment horizontal="center" vertical="center"/>
    </xf>
    <xf numFmtId="169" fontId="18" fillId="17" borderId="10" xfId="18" applyNumberFormat="1" applyBorder="1" applyAlignment="1">
      <alignment horizontal="center" vertical="center"/>
    </xf>
    <xf numFmtId="0" fontId="18" fillId="17" borderId="26" xfId="18" applyBorder="1" applyAlignment="1">
      <alignment horizontal="center" vertical="center"/>
    </xf>
    <xf numFmtId="0" fontId="3" fillId="0" borderId="30" xfId="0" applyFont="1" applyBorder="1" applyAlignment="1">
      <alignment horizontal="center"/>
    </xf>
    <xf numFmtId="0" fontId="9" fillId="10" borderId="0" xfId="9" applyFont="1" applyFill="1" applyAlignment="1">
      <alignment horizontal="right"/>
    </xf>
    <xf numFmtId="0" fontId="0" fillId="2" borderId="15" xfId="0" applyFill="1" applyBorder="1" applyAlignment="1">
      <alignment horizontal="right"/>
    </xf>
    <xf numFmtId="0" fontId="0" fillId="2" borderId="0" xfId="0" applyFill="1" applyAlignment="1">
      <alignment horizontal="right" vertical="top"/>
    </xf>
    <xf numFmtId="0" fontId="0" fillId="2" borderId="16" xfId="0" applyFill="1" applyBorder="1" applyAlignment="1">
      <alignment horizontal="right" vertical="top"/>
    </xf>
  </cellXfs>
  <cellStyles count="36">
    <cellStyle name="20% - Accent2" xfId="20" builtinId="34"/>
    <cellStyle name="40% - Accent2" xfId="6" builtinId="35"/>
    <cellStyle name="40% - Accent3" xfId="10" builtinId="39"/>
    <cellStyle name="60% - Accent3" xfId="7" builtinId="40"/>
    <cellStyle name="Accent2" xfId="5" builtinId="33"/>
    <cellStyle name="Accent3" xfId="9" builtinId="37"/>
    <cellStyle name="Accent6" xfId="19" builtinId="49"/>
    <cellStyle name="Bad" xfId="17" builtinId="27"/>
    <cellStyle name="Currency" xfId="1" builtinId="4"/>
    <cellStyle name="Currency 2" xfId="2" xr:uid="{00000000-0005-0000-0000-000001000000}"/>
    <cellStyle name="Currency 2 2" xfId="29" xr:uid="{3641EFA1-1B82-4D55-8AED-8381F34435F6}"/>
    <cellStyle name="Currency 2 3" xfId="25" xr:uid="{A62C0CA1-0A13-43C8-8A48-BA0FD6500375}"/>
    <cellStyle name="Currency 3" xfId="23" xr:uid="{BFB0F8F9-2397-4A06-8356-AD8750ED281F}"/>
    <cellStyle name="Currency 3 2" xfId="31" xr:uid="{2FAD2685-B9EF-4BE6-A1E1-1F072781B27F}"/>
    <cellStyle name="Currency 3 3" xfId="27" xr:uid="{A3AEA038-9DF9-4EA5-A047-2F813D44FFAA}"/>
    <cellStyle name="Currency 4" xfId="28" xr:uid="{5F2D7DDF-AD13-45BC-80AF-FC730CCDCD59}"/>
    <cellStyle name="Currency 5" xfId="24" xr:uid="{9692B7EC-C5FE-4E5D-B85B-E9DD6E0EBABD}"/>
    <cellStyle name="Good" xfId="18" builtinId="26"/>
    <cellStyle name="Hyperlink 2" xfId="14" xr:uid="{31BAF29C-8704-42A8-8543-66C755095B1F}"/>
    <cellStyle name="Neutral" xfId="16" builtinId="28"/>
    <cellStyle name="Normal" xfId="0" builtinId="0"/>
    <cellStyle name="Normal 2" xfId="13" xr:uid="{4212C7FA-1548-40DD-BBC2-325C6EE96BF1}"/>
    <cellStyle name="Normal 3" xfId="21" xr:uid="{E3532518-7E44-46A0-A4F3-6BA1CAA507AD}"/>
    <cellStyle name="Normal 3 2" xfId="30" xr:uid="{FE42F090-B68E-4BBF-B10A-2F742C2F1020}"/>
    <cellStyle name="Normal 3 3" xfId="26" xr:uid="{F0C383DA-6A1B-4654-AC2A-D6EF3B8F63A5}"/>
    <cellStyle name="Output" xfId="4" builtinId="21"/>
    <cellStyle name="Percent 2" xfId="22" xr:uid="{F3A2FDEB-ADFA-4EE2-AADA-262E57D63E01}"/>
    <cellStyle name="Style 1" xfId="3" xr:uid="{8E34B932-1936-41AE-B517-C3F14BF35AE2}"/>
    <cellStyle name="Style 2" xfId="8" xr:uid="{71AAF208-4189-4658-9EE3-8A386EEC5558}"/>
    <cellStyle name="Style 3" xfId="11" xr:uid="{113924C9-DB5F-4AC2-9E96-7FEDA7B1654B}"/>
    <cellStyle name="Style 4" xfId="12" xr:uid="{E225CE64-306E-4553-93D3-FFB7064996F6}"/>
    <cellStyle name="Style 5" xfId="15" xr:uid="{D325B849-8CEB-464C-BF50-F13A3C2657A1}"/>
    <cellStyle name="Style 6" xfId="32" xr:uid="{6630237A-1C29-4052-812D-074AE82CF6B8}"/>
    <cellStyle name="Style 7" xfId="33" xr:uid="{48DE8EAB-1F90-4EEA-BE2D-92BB9BE10FB2}"/>
    <cellStyle name="Style 8" xfId="34" xr:uid="{F70C1B2F-3D07-4792-AD1E-39C140F0E63D}"/>
    <cellStyle name="Style 9" xfId="35" xr:uid="{83E5848E-C8F6-4508-AE90-D334B5737F18}"/>
  </cellStyles>
  <dxfs count="4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alignment horizontal="general" vertical="bottom" textRotation="0" wrapText="0" indent="0" justifyLastLine="0" shrinkToFit="0" readingOrder="0"/>
    </dxf>
    <dxf>
      <border outline="0">
        <bottom style="thin">
          <color rgb="FF3F3F3F"/>
        </bottom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</dxf>
  </dxfs>
  <tableStyles count="5" defaultTableStyle="SignCraft Invoice Table" defaultPivotStyle="PivotStyleLight16">
    <tableStyle name="invoice" pivot="0" count="1" xr9:uid="{32F62B1D-097E-4BBC-AD2B-511103169E03}">
      <tableStyleElement type="firstColumnStripe" dxfId="43"/>
    </tableStyle>
    <tableStyle name="InvoiceTable" pivot="0" count="2" xr9:uid="{5C9BD691-8A6D-449E-B8C4-10CBCCABE3E0}">
      <tableStyleElement type="wholeTable" dxfId="42"/>
      <tableStyleElement type="firstRowStripe" dxfId="41"/>
    </tableStyle>
    <tableStyle name="OutputChart" pivot="0" count="2" xr9:uid="{B7815AB4-9C82-4398-AEBF-65B89042F515}">
      <tableStyleElement type="headerRow" dxfId="40"/>
      <tableStyleElement type="secondRowStripe" dxfId="39"/>
    </tableStyle>
    <tableStyle name="signcraft" pivot="0" count="1" xr9:uid="{801EAA79-E146-47E1-84FD-91888384B80A}">
      <tableStyleElement type="wholeTable" dxfId="38"/>
    </tableStyle>
    <tableStyle name="SignCraft Invoice Table" pivot="0" count="2" xr9:uid="{465527B2-3678-4049-B1DF-497C72E0AAC2}">
      <tableStyleElement type="wholeTable" dxfId="37"/>
      <tableStyleElement type="firstColumnStripe" dxfId="36"/>
    </tableStyle>
  </tableStyles>
  <colors>
    <mruColors>
      <color rgb="FFFFC5C5"/>
      <color rgb="FFFF373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F$32" lockText="1" noThreeD="1"/>
</file>

<file path=xl/ctrlProps/ctrlProp2.xml><?xml version="1.0" encoding="utf-8"?>
<formControlPr xmlns="http://schemas.microsoft.com/office/spreadsheetml/2009/9/main" objectType="CheckBox" fmlaLink="$F$33" lockText="1" noThreeD="1"/>
</file>

<file path=xl/ctrlProps/ctrlProp3.xml><?xml version="1.0" encoding="utf-8"?>
<formControlPr xmlns="http://schemas.microsoft.com/office/spreadsheetml/2009/9/main" objectType="CheckBox" fmlaLink="$F$35" lockText="1" noThreeD="1"/>
</file>

<file path=xl/ctrlProps/ctrlProp4.xml><?xml version="1.0" encoding="utf-8"?>
<formControlPr xmlns="http://schemas.microsoft.com/office/spreadsheetml/2009/9/main" objectType="CheckBox" fmlaLink="$F$34" lockText="1" noThreeD="1"/>
</file>

<file path=xl/ctrlProps/ctrlProp5.xml><?xml version="1.0" encoding="utf-8"?>
<formControlPr xmlns="http://schemas.microsoft.com/office/spreadsheetml/2009/9/main" objectType="CheckBox" fmlaLink="$F$36" lockText="1" noThreeD="1"/>
</file>

<file path=xl/ctrlProps/ctrlProp6.xml><?xml version="1.0" encoding="utf-8"?>
<formControlPr xmlns="http://schemas.microsoft.com/office/spreadsheetml/2009/9/main" objectType="CheckBox" fmlaLink="$F$37" noThreeD="1"/>
</file>

<file path=xl/ctrlProps/ctrlProp7.xml><?xml version="1.0" encoding="utf-8"?>
<formControlPr xmlns="http://schemas.microsoft.com/office/spreadsheetml/2009/9/main" objectType="CheckBox" fmlaLink="$F$30" lockText="1" noThreeD="1"/>
</file>

<file path=xl/ctrlProps/ctrlProp8.xml><?xml version="1.0" encoding="utf-8"?>
<formControlPr xmlns="http://schemas.microsoft.com/office/spreadsheetml/2009/9/main" objectType="CheckBox" fmlaLink="$F$29" lockText="1" noThreeD="1"/>
</file>

<file path=xl/ctrlProps/ctrlProp9.xml><?xml version="1.0" encoding="utf-8"?>
<formControlPr xmlns="http://schemas.microsoft.com/office/spreadsheetml/2009/9/main" objectType="CheckBox" fmlaLink="$F$31" lockText="1" noThreeD="1"/>
</file>

<file path=xl/ctrlProps/ctrlProp10.xml><?xml version="1.0" encoding="utf-8"?>
<formControlPr xmlns="http://schemas.microsoft.com/office/spreadsheetml/2009/9/main" objectType="CheckBox" fmlaLink="$F$38" lockText="1" noThreeD="1"/>
</file>

<file path=xl/ctrlProps/ctrlProp11.xml><?xml version="1.0" encoding="utf-8"?>
<formControlPr xmlns="http://schemas.microsoft.com/office/spreadsheetml/2009/9/main" objectType="CheckBox" fmlaLink="$F$52" lockText="1" noThreeD="1"/>
</file>

<file path=xl/ctrlProps/ctrlProp12.xml><?xml version="1.0" encoding="utf-8"?>
<formControlPr xmlns="http://schemas.microsoft.com/office/spreadsheetml/2009/9/main" objectType="Radio" firstButton="1" fmlaLink="$F$26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5" name="Option 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8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6" name="Option 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8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190500</xdr:rowOff>
        </xdr:to>
        <xdr:sp macro="" textlink="">
          <xdr:nvSpPr>
            <xdr:cNvPr id="77827" name="Option 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8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200025</xdr:rowOff>
        </xdr:to>
        <xdr:sp macro="" textlink="">
          <xdr:nvSpPr>
            <xdr:cNvPr id="77828" name="Option 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8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190500</xdr:rowOff>
        </xdr:to>
        <xdr:sp macro="" textlink="">
          <xdr:nvSpPr>
            <xdr:cNvPr id="77829" name="Option 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8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0" name="Option 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8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200025</xdr:rowOff>
        </xdr:to>
        <xdr:sp macro="" textlink="">
          <xdr:nvSpPr>
            <xdr:cNvPr id="77831" name="Option 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8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200025</xdr:rowOff>
        </xdr:to>
        <xdr:sp macro="" textlink="">
          <xdr:nvSpPr>
            <xdr:cNvPr id="77832" name="Option 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8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180975</xdr:rowOff>
        </xdr:to>
        <xdr:sp macro="" textlink="">
          <xdr:nvSpPr>
            <xdr:cNvPr id="77833" name="Option 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8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4" name="Option 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8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0</xdr:row>
          <xdr:rowOff>228600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8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200025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8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219075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08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219075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08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228600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08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30</xdr:row>
          <xdr:rowOff>200025</xdr:rowOff>
        </xdr:from>
        <xdr:to>
          <xdr:col>1</xdr:col>
          <xdr:colOff>0</xdr:colOff>
          <xdr:row>48</xdr:row>
          <xdr:rowOff>47625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  <a:ext uri="{FF2B5EF4-FFF2-40B4-BE49-F238E27FC236}">
                  <a16:creationId xmlns:a16="http://schemas.microsoft.com/office/drawing/2014/main" id="{00000000-0008-0000-0800-00001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31</xdr:row>
          <xdr:rowOff>219075</xdr:rowOff>
        </xdr:from>
        <xdr:to>
          <xdr:col>0</xdr:col>
          <xdr:colOff>314325</xdr:colOff>
          <xdr:row>48</xdr:row>
          <xdr:rowOff>19050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  <a:ext uri="{FF2B5EF4-FFF2-40B4-BE49-F238E27FC236}">
                  <a16:creationId xmlns:a16="http://schemas.microsoft.com/office/drawing/2014/main" id="{00000000-0008-0000-0800-00001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33</xdr:row>
          <xdr:rowOff>200025</xdr:rowOff>
        </xdr:from>
        <xdr:to>
          <xdr:col>0</xdr:col>
          <xdr:colOff>352425</xdr:colOff>
          <xdr:row>48</xdr:row>
          <xdr:rowOff>38100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  <a:ext uri="{FF2B5EF4-FFF2-40B4-BE49-F238E27FC236}">
                  <a16:creationId xmlns:a16="http://schemas.microsoft.com/office/drawing/2014/main" id="{00000000-0008-0000-0800-00001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32</xdr:row>
          <xdr:rowOff>209550</xdr:rowOff>
        </xdr:from>
        <xdr:to>
          <xdr:col>0</xdr:col>
          <xdr:colOff>342900</xdr:colOff>
          <xdr:row>48</xdr:row>
          <xdr:rowOff>38100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  <a:ext uri="{FF2B5EF4-FFF2-40B4-BE49-F238E27FC236}">
                  <a16:creationId xmlns:a16="http://schemas.microsoft.com/office/drawing/2014/main" id="{00000000-0008-0000-0800-00001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34</xdr:row>
          <xdr:rowOff>209550</xdr:rowOff>
        </xdr:from>
        <xdr:to>
          <xdr:col>0</xdr:col>
          <xdr:colOff>342900</xdr:colOff>
          <xdr:row>48</xdr:row>
          <xdr:rowOff>47625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  <a:ext uri="{FF2B5EF4-FFF2-40B4-BE49-F238E27FC236}">
                  <a16:creationId xmlns:a16="http://schemas.microsoft.com/office/drawing/2014/main" id="{00000000-0008-0000-0800-00001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35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  <a:ext uri="{FF2B5EF4-FFF2-40B4-BE49-F238E27FC236}">
                  <a16:creationId xmlns:a16="http://schemas.microsoft.com/office/drawing/2014/main" id="{00000000-0008-0000-0800-00001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  <a:ext uri="{FF2B5EF4-FFF2-40B4-BE49-F238E27FC236}">
                  <a16:creationId xmlns:a16="http://schemas.microsoft.com/office/drawing/2014/main" id="{00000000-0008-0000-0800-00002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27</xdr:row>
          <xdr:rowOff>209550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  <a:ext uri="{FF2B5EF4-FFF2-40B4-BE49-F238E27FC236}">
                  <a16:creationId xmlns:a16="http://schemas.microsoft.com/office/drawing/2014/main" id="{00000000-0008-0000-0800-00002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180975</xdr:rowOff>
        </xdr:from>
        <xdr:to>
          <xdr:col>0</xdr:col>
          <xdr:colOff>333375</xdr:colOff>
          <xdr:row>48</xdr:row>
          <xdr:rowOff>57150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  <a:ext uri="{FF2B5EF4-FFF2-40B4-BE49-F238E27FC236}">
                  <a16:creationId xmlns:a16="http://schemas.microsoft.com/office/drawing/2014/main" id="{00000000-0008-0000-0800-00002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36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  <a:ext uri="{FF2B5EF4-FFF2-40B4-BE49-F238E27FC236}">
                  <a16:creationId xmlns:a16="http://schemas.microsoft.com/office/drawing/2014/main" id="{00000000-0008-0000-0800-00002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91107</xdr:colOff>
      <xdr:row>1</xdr:row>
      <xdr:rowOff>84298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4390" cy="730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51</xdr:row>
          <xdr:rowOff>38100</xdr:rowOff>
        </xdr:from>
        <xdr:to>
          <xdr:col>3</xdr:col>
          <xdr:colOff>57150</xdr:colOff>
          <xdr:row>52</xdr:row>
          <xdr:rowOff>104775</xdr:rowOff>
        </xdr:to>
        <xdr:sp macro="" textlink="">
          <xdr:nvSpPr>
            <xdr:cNvPr id="77866" name="Check Box 42" hidden="1">
              <a:extLst>
                <a:ext uri="{63B3BB69-23CF-44E3-9099-C40C66FF867C}">
                  <a14:compatExt spid="_x0000_s77866"/>
                </a:ext>
                <a:ext uri="{FF2B5EF4-FFF2-40B4-BE49-F238E27FC236}">
                  <a16:creationId xmlns:a16="http://schemas.microsoft.com/office/drawing/2014/main" id="{00000000-0008-0000-0800-00002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256760</xdr:colOff>
      <xdr:row>63</xdr:row>
      <xdr:rowOff>74543</xdr:rowOff>
    </xdr:from>
    <xdr:to>
      <xdr:col>2</xdr:col>
      <xdr:colOff>19877</xdr:colOff>
      <xdr:row>64</xdr:row>
      <xdr:rowOff>139976</xdr:rowOff>
    </xdr:to>
    <xdr:sp macro="[0]!AD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6760" y="6750326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474363-8DE4-4541-AADC-16DECF33AD6A}" name="Table24" displayName="Table24" ref="E92:E97" totalsRowShown="0" headerRowDxfId="35" dataDxfId="34">
  <autoFilter ref="E92:E97" xr:uid="{D650E385-A5F8-4501-B70E-AA3D8F874A88}"/>
  <tableColumns count="1">
    <tableColumn id="1" xr3:uid="{42DE89E4-33BB-40E7-B859-6D853738865D}" name="Column1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87BAF7-946B-4CD0-ABCB-89900133C6C8}" name="Table35" displayName="Table35" ref="E109:E112" totalsRowShown="0" dataDxfId="32" headerRowCellStyle="Good">
  <autoFilter ref="E109:E112" xr:uid="{34616F53-42D9-493E-B346-0AAC15F813B5}"/>
  <tableColumns count="1">
    <tableColumn id="1" xr3:uid="{95384B76-708C-477F-AC76-3B625F2CFFA3}" name="Yes/No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4A55AF-5FAF-4A8E-9CD4-A293957582DC}" name="Table6" displayName="Table6" ref="E84:E88" totalsRowShown="0" headerRowDxfId="30" dataDxfId="29">
  <autoFilter ref="E84:E88" xr:uid="{884A55AF-5FAF-4A8E-9CD4-A293957582DC}"/>
  <tableColumns count="1">
    <tableColumn id="1" xr3:uid="{12F723D8-8747-4F51-8249-A5584FA3BA11}" name="Column1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D4A1FB-35D7-4F78-8534-0D9053694A76}" name="Table7" displayName="Table7" ref="H86:H91" totalsRowShown="0" headerRowDxfId="27" dataDxfId="25" headerRowBorderDxfId="26" tableBorderDxfId="24" totalsRowBorderDxfId="23">
  <autoFilter ref="H86:H91" xr:uid="{9ED4A1FB-35D7-4F78-8534-0D9053694A76}"/>
  <tableColumns count="1">
    <tableColumn id="1" xr3:uid="{F25BC871-6700-4149-A613-3A46999FF7B7}" name="Column1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8231E0-C30A-47A4-8ABD-41ECE9659469}" name="Table8" displayName="Table8" ref="H95:H101" totalsRowShown="0" headerRowDxfId="21" dataDxfId="19" headerRowBorderDxfId="20" tableBorderDxfId="18" totalsRowBorderDxfId="17">
  <autoFilter ref="H95:H101" xr:uid="{A28231E0-C30A-47A4-8ABD-41ECE9659469}"/>
  <tableColumns count="1">
    <tableColumn id="1" xr3:uid="{F4305185-48DA-4D5B-86A2-2D8260B0DA25}" name="Column1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423EA70-0307-4459-B2AF-178E8CF499C2}" name="Table10" displayName="Table10" ref="H109:H113" totalsRowShown="0" dataDxfId="15" headerRowCellStyle="Good">
  <autoFilter ref="H109:H113" xr:uid="{F423EA70-0307-4459-B2AF-178E8CF499C2}"/>
  <tableColumns count="1">
    <tableColumn id="1" xr3:uid="{0C5D24D2-939B-4601-A669-F4410305EEC3}" name="Column1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84F3F8-2A34-4882-B0F2-71A69381A61C}" name="Table5" displayName="Table5" ref="B68:B79" totalsRowShown="0" headerRowDxfId="13" dataDxfId="12" tableBorderDxfId="11">
  <autoFilter ref="B68:B79" xr:uid="{B284F3F8-2A34-4882-B0F2-71A69381A61C}"/>
  <tableColumns count="1">
    <tableColumn id="1" xr3:uid="{D1B17377-1EC0-45E7-A705-2E6D029F6961}" name="Column1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table" Target="../tables/table7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F480-5D5F-4C04-A595-06ACCB015D51}">
  <sheetPr codeName="Sheet7">
    <pageSetUpPr fitToPage="1"/>
  </sheetPr>
  <dimension ref="A1:R113"/>
  <sheetViews>
    <sheetView tabSelected="1" zoomScale="115" zoomScaleNormal="115" zoomScaleSheetLayoutView="100" workbookViewId="0">
      <selection activeCell="B16" sqref="B16:D16"/>
    </sheetView>
  </sheetViews>
  <sheetFormatPr defaultColWidth="0" defaultRowHeight="0" customHeight="1" zeroHeight="1" x14ac:dyDescent="0.25"/>
  <cols>
    <col min="1" max="1" width="5.5703125" style="20" customWidth="1"/>
    <col min="2" max="2" width="23.140625" style="8" customWidth="1"/>
    <col min="3" max="3" width="17.42578125" style="8" customWidth="1"/>
    <col min="4" max="4" width="10.28515625" style="8" customWidth="1"/>
    <col min="5" max="5" width="8.7109375" style="8" customWidth="1"/>
    <col min="6" max="6" width="7.7109375" style="8" hidden="1" customWidth="1"/>
    <col min="7" max="7" width="22.7109375" style="8" customWidth="1"/>
    <col min="8" max="8" width="7" style="8" customWidth="1"/>
    <col min="9" max="9" width="12.28515625" style="8" customWidth="1"/>
    <col min="10" max="10" width="2.85546875" style="8" customWidth="1"/>
    <col min="11" max="11" width="25.140625" style="8" hidden="1" customWidth="1"/>
    <col min="12" max="12" width="18.140625" style="8" hidden="1" customWidth="1"/>
    <col min="13" max="18" width="0" style="8" hidden="1" customWidth="1"/>
    <col min="19" max="16384" width="6.28515625" style="8" hidden="1"/>
  </cols>
  <sheetData>
    <row r="1" spans="1:18" ht="51" customHeight="1" x14ac:dyDescent="0.25">
      <c r="A1" s="48"/>
      <c r="B1" s="49"/>
      <c r="C1" s="182" t="s">
        <v>44</v>
      </c>
      <c r="D1" s="182"/>
      <c r="E1" s="182"/>
      <c r="F1" s="182"/>
      <c r="G1" s="182"/>
      <c r="H1" s="182"/>
      <c r="I1" s="182"/>
      <c r="J1" s="182"/>
      <c r="K1" s="16"/>
      <c r="L1" s="16"/>
      <c r="M1" s="16"/>
      <c r="N1" s="16"/>
      <c r="O1" s="16"/>
      <c r="P1" s="16"/>
      <c r="Q1" s="16"/>
      <c r="R1" s="16"/>
    </row>
    <row r="2" spans="1:18" ht="14.45" customHeight="1" thickBot="1" x14ac:dyDescent="0.3">
      <c r="A2" s="137"/>
      <c r="B2" s="137"/>
      <c r="C2" s="16"/>
      <c r="D2" s="16"/>
      <c r="H2" s="16"/>
      <c r="I2" s="16"/>
      <c r="J2" s="16"/>
      <c r="K2" s="21"/>
      <c r="L2" s="16"/>
      <c r="M2" s="16"/>
      <c r="N2" s="16"/>
      <c r="O2" s="16"/>
      <c r="P2" s="16"/>
      <c r="Q2" s="16"/>
      <c r="R2" s="16"/>
    </row>
    <row r="3" spans="1:18" ht="14.45" customHeight="1" thickBot="1" x14ac:dyDescent="0.3">
      <c r="A3" s="50" t="s">
        <v>46</v>
      </c>
      <c r="B3" s="51" t="s">
        <v>23</v>
      </c>
      <c r="G3" s="52" t="s">
        <v>43</v>
      </c>
      <c r="H3" s="138" t="e">
        <f>#REF!</f>
        <v>#REF!</v>
      </c>
      <c r="I3" s="139"/>
      <c r="K3" s="22"/>
    </row>
    <row r="4" spans="1:18" ht="14.45" customHeight="1" x14ac:dyDescent="0.25">
      <c r="A4" s="8"/>
      <c r="H4" s="53"/>
      <c r="I4" s="53"/>
      <c r="K4" s="22"/>
    </row>
    <row r="5" spans="1:18" ht="14.45" customHeight="1" thickBot="1" x14ac:dyDescent="0.3">
      <c r="B5" s="51" t="s">
        <v>37</v>
      </c>
      <c r="C5" s="51"/>
      <c r="D5" s="51"/>
      <c r="K5" s="22"/>
    </row>
    <row r="6" spans="1:18" ht="14.45" customHeight="1" thickBot="1" x14ac:dyDescent="0.3">
      <c r="B6" s="140" t="s">
        <v>96</v>
      </c>
      <c r="C6" s="141"/>
      <c r="D6" s="141"/>
      <c r="E6" s="141"/>
      <c r="F6" s="141"/>
      <c r="G6" s="141"/>
      <c r="H6" s="141"/>
      <c r="I6" s="142"/>
      <c r="K6" s="22"/>
    </row>
    <row r="7" spans="1:18" ht="14.45" customHeight="1" thickBot="1" x14ac:dyDescent="0.3">
      <c r="K7" s="22"/>
    </row>
    <row r="8" spans="1:18" ht="14.45" customHeight="1" thickTop="1" thickBot="1" x14ac:dyDescent="0.3">
      <c r="B8" s="159" t="s">
        <v>47</v>
      </c>
      <c r="C8" s="159"/>
      <c r="D8" s="184"/>
      <c r="E8" s="54"/>
      <c r="F8" s="55"/>
      <c r="G8" s="159" t="s">
        <v>35</v>
      </c>
      <c r="H8" s="160"/>
      <c r="I8" s="2"/>
      <c r="K8" s="22"/>
    </row>
    <row r="9" spans="1:18" ht="14.45" customHeight="1" thickTop="1" thickBot="1" x14ac:dyDescent="0.3">
      <c r="B9" s="159" t="s">
        <v>42</v>
      </c>
      <c r="C9" s="159"/>
      <c r="D9" s="184"/>
      <c r="E9" s="56"/>
      <c r="F9" s="55"/>
      <c r="G9" s="159" t="s">
        <v>22</v>
      </c>
      <c r="H9" s="160"/>
      <c r="I9" s="57"/>
      <c r="K9" s="22"/>
    </row>
    <row r="10" spans="1:18" ht="14.45" customHeight="1" thickTop="1" thickBot="1" x14ac:dyDescent="0.3">
      <c r="B10" s="185" t="s">
        <v>13</v>
      </c>
      <c r="C10" s="185"/>
      <c r="D10" s="186"/>
      <c r="E10" s="54"/>
      <c r="G10" s="159" t="s">
        <v>24</v>
      </c>
      <c r="H10" s="160"/>
      <c r="I10" s="57"/>
      <c r="K10" s="22"/>
    </row>
    <row r="11" spans="1:18" ht="14.45" customHeight="1" thickTop="1" thickBot="1" x14ac:dyDescent="0.3">
      <c r="B11" s="159" t="s">
        <v>18</v>
      </c>
      <c r="C11" s="159"/>
      <c r="D11" s="160"/>
      <c r="E11" s="2"/>
      <c r="G11" s="159" t="s">
        <v>36</v>
      </c>
      <c r="H11" s="160"/>
      <c r="I11" s="57"/>
      <c r="K11" s="22"/>
    </row>
    <row r="12" spans="1:18" ht="14.45" customHeight="1" thickBot="1" x14ac:dyDescent="0.3">
      <c r="B12" s="159" t="s">
        <v>25</v>
      </c>
      <c r="C12" s="159"/>
      <c r="D12" s="177"/>
      <c r="E12" s="58" t="str">
        <f>IF(E8="","",VLOOKUP(E8,#REF!,LOOKUP(E9,#REF!,#REF!),TRUE))</f>
        <v/>
      </c>
      <c r="G12" s="159" t="s">
        <v>40</v>
      </c>
      <c r="H12" s="160"/>
      <c r="I12" s="57"/>
    </row>
    <row r="13" spans="1:18" ht="14.45" customHeight="1" thickBot="1" x14ac:dyDescent="0.3">
      <c r="B13" s="159"/>
      <c r="C13" s="159"/>
      <c r="D13" s="159"/>
      <c r="E13" s="159"/>
      <c r="G13" s="159" t="s">
        <v>45</v>
      </c>
      <c r="H13" s="159"/>
      <c r="I13" s="59"/>
    </row>
    <row r="14" spans="1:18" ht="14.45" customHeight="1" x14ac:dyDescent="0.25">
      <c r="B14" s="137"/>
      <c r="C14" s="137"/>
      <c r="D14" s="137"/>
      <c r="E14" s="137"/>
      <c r="G14" s="159" t="s">
        <v>17</v>
      </c>
      <c r="H14" s="176"/>
      <c r="I14" s="10">
        <f>ROUND(E8*E9/144,2)</f>
        <v>0</v>
      </c>
      <c r="J14"/>
    </row>
    <row r="15" spans="1:18" s="106" customFormat="1" ht="15.75" customHeight="1" x14ac:dyDescent="0.25">
      <c r="A15" s="110"/>
      <c r="B15" s="161" t="s">
        <v>20</v>
      </c>
      <c r="C15" s="161"/>
      <c r="D15" s="161"/>
      <c r="E15" s="110" t="s">
        <v>8</v>
      </c>
      <c r="F15" s="110"/>
      <c r="G15" s="110" t="s">
        <v>9</v>
      </c>
      <c r="H15" s="110" t="s">
        <v>10</v>
      </c>
      <c r="I15" s="110" t="s">
        <v>11</v>
      </c>
      <c r="J15" s="110"/>
    </row>
    <row r="16" spans="1:18" customFormat="1" ht="24" customHeight="1" thickBot="1" x14ac:dyDescent="0.3">
      <c r="A16" s="8"/>
      <c r="B16" s="178" t="s">
        <v>88</v>
      </c>
      <c r="C16" s="178"/>
      <c r="D16" s="178"/>
      <c r="E16" s="136" t="e">
        <f>IF(B16="Custom", E17, IF(ISBLANK(B16), "", VLOOKUP(B16,#REF!, 6, FALSE)))</f>
        <v>#REF!</v>
      </c>
      <c r="F16" s="35" t="e">
        <f>E16</f>
        <v>#REF!</v>
      </c>
      <c r="G16" s="133"/>
      <c r="H16" s="60" t="e">
        <f>IF(OR(E16="0",E16="Custom"),E17+1,E16+1)</f>
        <v>#REF!</v>
      </c>
      <c r="I16" s="37" t="e">
        <f>E12*H16</f>
        <v>#VALUE!</v>
      </c>
    </row>
    <row r="17" spans="1:10" customFormat="1" ht="14.45" hidden="1" customHeight="1" thickBot="1" x14ac:dyDescent="0.3">
      <c r="A17" s="5">
        <v>11</v>
      </c>
      <c r="B17" s="162" t="s">
        <v>89</v>
      </c>
      <c r="C17" s="163"/>
      <c r="D17" s="164"/>
      <c r="E17" s="36">
        <v>0</v>
      </c>
      <c r="H17" t="str">
        <f>IF($F$26=20,1+E17,"")</f>
        <v/>
      </c>
      <c r="I17" s="3" t="str">
        <f>IF(H17="","",$E$12*H17)</f>
        <v/>
      </c>
    </row>
    <row r="18" spans="1:10" ht="14.45" hidden="1" customHeight="1" x14ac:dyDescent="0.25">
      <c r="A18" s="5">
        <v>1</v>
      </c>
      <c r="B18" s="151" t="s">
        <v>48</v>
      </c>
      <c r="C18" s="151"/>
      <c r="D18" s="151"/>
      <c r="E18" s="6">
        <v>-0.1</v>
      </c>
      <c r="F18" s="7"/>
      <c r="G18"/>
      <c r="H18" t="str">
        <f>IF($F$26=11,1+E18,"")</f>
        <v/>
      </c>
      <c r="I18" s="3" t="str">
        <f>IF(H18="","",$E$12*H18)</f>
        <v/>
      </c>
      <c r="J18"/>
    </row>
    <row r="19" spans="1:10" ht="14.45" hidden="1" customHeight="1" x14ac:dyDescent="0.25">
      <c r="A19" s="5">
        <v>3</v>
      </c>
      <c r="B19" s="151" t="s">
        <v>0</v>
      </c>
      <c r="C19" s="151"/>
      <c r="D19" s="151"/>
      <c r="E19" s="6">
        <v>0</v>
      </c>
      <c r="F19" s="7"/>
      <c r="G19"/>
      <c r="H19" t="str">
        <f>IF($F$26=12,1+E19,"")</f>
        <v/>
      </c>
      <c r="I19" s="3" t="str">
        <f>IF(H19="","",$E$12*H19)</f>
        <v/>
      </c>
      <c r="J19"/>
    </row>
    <row r="20" spans="1:10" ht="14.45" hidden="1" customHeight="1" x14ac:dyDescent="0.25">
      <c r="A20" s="5">
        <v>4</v>
      </c>
      <c r="B20" s="151" t="s">
        <v>1</v>
      </c>
      <c r="C20" s="151"/>
      <c r="D20" s="151"/>
      <c r="E20" s="6">
        <v>0.6</v>
      </c>
      <c r="F20" s="7"/>
      <c r="G20"/>
      <c r="H20" t="str">
        <f>IF($F$26=13,1+E20,"")</f>
        <v/>
      </c>
      <c r="I20" s="3" t="str">
        <f t="shared" ref="I20:I25" si="0">IF(H20="","",$E$12*H20)</f>
        <v/>
      </c>
      <c r="J20"/>
    </row>
    <row r="21" spans="1:10" ht="14.45" hidden="1" customHeight="1" x14ac:dyDescent="0.25">
      <c r="A21" s="5">
        <v>5</v>
      </c>
      <c r="B21" s="151" t="s">
        <v>2</v>
      </c>
      <c r="C21" s="151"/>
      <c r="D21" s="151"/>
      <c r="E21" s="6">
        <v>0.5</v>
      </c>
      <c r="F21" s="7"/>
      <c r="G21"/>
      <c r="H21" t="str">
        <f>IF($F$26=14,1+E21,"")</f>
        <v/>
      </c>
      <c r="I21" s="3" t="str">
        <f t="shared" si="0"/>
        <v/>
      </c>
      <c r="J21"/>
    </row>
    <row r="22" spans="1:10" ht="14.45" hidden="1" customHeight="1" x14ac:dyDescent="0.25">
      <c r="A22" s="5">
        <v>6</v>
      </c>
      <c r="B22" s="151" t="s">
        <v>3</v>
      </c>
      <c r="C22" s="151"/>
      <c r="D22" s="151"/>
      <c r="E22" s="6">
        <v>0.6</v>
      </c>
      <c r="F22" s="7"/>
      <c r="G22"/>
      <c r="H22" t="str">
        <f>IF($F$26=15,1+E22,"")</f>
        <v/>
      </c>
      <c r="I22" s="3" t="str">
        <f t="shared" si="0"/>
        <v/>
      </c>
      <c r="J22"/>
    </row>
    <row r="23" spans="1:10" ht="14.45" hidden="1" customHeight="1" x14ac:dyDescent="0.25">
      <c r="A23" s="5">
        <v>7</v>
      </c>
      <c r="B23" s="151" t="s">
        <v>4</v>
      </c>
      <c r="C23" s="151"/>
      <c r="D23" s="151"/>
      <c r="E23" s="6">
        <v>0.4</v>
      </c>
      <c r="F23" s="7"/>
      <c r="G23"/>
      <c r="H23" t="str">
        <f>IF($F$26=16,1+E23,"")</f>
        <v/>
      </c>
      <c r="I23" s="3" t="str">
        <f t="shared" si="0"/>
        <v/>
      </c>
      <c r="J23"/>
    </row>
    <row r="24" spans="1:10" ht="14.45" hidden="1" customHeight="1" x14ac:dyDescent="0.25">
      <c r="A24" s="5">
        <v>8</v>
      </c>
      <c r="B24" s="151" t="s">
        <v>5</v>
      </c>
      <c r="C24" s="151"/>
      <c r="D24" s="151"/>
      <c r="E24" s="6">
        <v>0</v>
      </c>
      <c r="F24" s="7"/>
      <c r="G24"/>
      <c r="H24" t="str">
        <f>IF($F$26=17,1+E24,"")</f>
        <v/>
      </c>
      <c r="I24" s="3" t="str">
        <f t="shared" si="0"/>
        <v/>
      </c>
      <c r="J24"/>
    </row>
    <row r="25" spans="1:10" ht="14.45" hidden="1" customHeight="1" x14ac:dyDescent="0.25">
      <c r="A25" s="5">
        <v>9</v>
      </c>
      <c r="B25" s="151" t="s">
        <v>6</v>
      </c>
      <c r="C25" s="151"/>
      <c r="D25" s="151"/>
      <c r="E25" s="6">
        <v>1</v>
      </c>
      <c r="F25" s="7"/>
      <c r="G25"/>
      <c r="H25" t="str">
        <f>IF($F$26=18,1+E25,"")</f>
        <v/>
      </c>
      <c r="I25" s="3" t="str">
        <f t="shared" si="0"/>
        <v/>
      </c>
      <c r="J25"/>
    </row>
    <row r="26" spans="1:10" ht="8.25" hidden="1" customHeight="1" x14ac:dyDescent="0.25">
      <c r="A26" s="5">
        <v>10</v>
      </c>
      <c r="B26" s="151" t="s">
        <v>7</v>
      </c>
      <c r="C26" s="151"/>
      <c r="D26" s="151"/>
      <c r="E26" s="6">
        <v>0.9</v>
      </c>
      <c r="F26" s="4">
        <v>0</v>
      </c>
      <c r="G26"/>
      <c r="H26" t="str">
        <f>IF($F$26=19,1+E26,"")</f>
        <v/>
      </c>
      <c r="I26" s="3" t="str">
        <f>IF(H26="","",$E$12*H26)</f>
        <v/>
      </c>
      <c r="J26"/>
    </row>
    <row r="27" spans="1:10" ht="14.45" customHeight="1" x14ac:dyDescent="0.25">
      <c r="A27" s="183" t="s">
        <v>15</v>
      </c>
      <c r="B27" s="183"/>
      <c r="C27" s="183"/>
      <c r="D27" s="183"/>
      <c r="E27" s="183"/>
      <c r="F27" s="183"/>
      <c r="G27" s="183"/>
      <c r="H27" s="183"/>
      <c r="I27" s="13" t="e">
        <f>$E$10*SUM(I16:I26)</f>
        <v>#VALUE!</v>
      </c>
      <c r="J27" s="111"/>
    </row>
    <row r="28" spans="1:10" ht="14.45" customHeight="1" x14ac:dyDescent="0.25">
      <c r="A28" s="108"/>
      <c r="B28" s="158" t="s">
        <v>21</v>
      </c>
      <c r="C28" s="158"/>
      <c r="D28" s="158"/>
      <c r="E28" s="109"/>
      <c r="F28" s="109"/>
      <c r="G28" s="110" t="s">
        <v>9</v>
      </c>
      <c r="H28" s="109"/>
      <c r="I28" s="109"/>
      <c r="J28" s="109"/>
    </row>
    <row r="29" spans="1:10" ht="14.45" hidden="1" customHeight="1" x14ac:dyDescent="0.25">
      <c r="A29" s="61"/>
      <c r="B29" s="154" t="s">
        <v>30</v>
      </c>
      <c r="C29" s="154"/>
      <c r="D29" s="155"/>
      <c r="E29" s="68">
        <v>0.6</v>
      </c>
      <c r="F29" s="24" t="b">
        <v>0</v>
      </c>
      <c r="G29" s="9"/>
      <c r="H29" s="65"/>
      <c r="I29" s="101" t="str">
        <f>IF(F29=TRUE,E29*$I$27,"")</f>
        <v/>
      </c>
      <c r="J29" s="75"/>
    </row>
    <row r="30" spans="1:10" ht="14.45" hidden="1" customHeight="1" x14ac:dyDescent="0.25">
      <c r="A30" s="61"/>
      <c r="B30" s="152" t="s">
        <v>63</v>
      </c>
      <c r="C30" s="152"/>
      <c r="D30" s="153"/>
      <c r="E30" s="69">
        <v>1</v>
      </c>
      <c r="F30" s="25" t="b">
        <v>0</v>
      </c>
      <c r="G30" s="132"/>
      <c r="H30" s="65">
        <f>$I$14*E$10</f>
        <v>0</v>
      </c>
      <c r="I30" s="101" t="str">
        <f>IF(F30=TRUE,E30*H30,"")</f>
        <v/>
      </c>
      <c r="J30" s="76"/>
    </row>
    <row r="31" spans="1:10" ht="14.45" hidden="1" customHeight="1" x14ac:dyDescent="0.25">
      <c r="A31" s="61"/>
      <c r="B31" s="152" t="s">
        <v>34</v>
      </c>
      <c r="C31" s="152"/>
      <c r="D31" s="153"/>
      <c r="E31" s="69">
        <v>1</v>
      </c>
      <c r="F31" s="26" t="b">
        <v>0</v>
      </c>
      <c r="G31" s="132"/>
      <c r="H31" s="65">
        <f>$I$14*E$10</f>
        <v>0</v>
      </c>
      <c r="I31" s="101" t="str">
        <f>IF(F31=TRUE,E31*H31+20,"")</f>
        <v/>
      </c>
      <c r="J31" s="76"/>
    </row>
    <row r="32" spans="1:10" ht="14.45" hidden="1" customHeight="1" x14ac:dyDescent="0.25">
      <c r="A32" s="61"/>
      <c r="B32" s="152" t="s">
        <v>27</v>
      </c>
      <c r="C32" s="152"/>
      <c r="D32" s="153"/>
      <c r="E32" s="69">
        <v>3</v>
      </c>
      <c r="F32" s="25" t="b">
        <v>0</v>
      </c>
      <c r="G32" s="132"/>
      <c r="H32" s="65">
        <f>$I$14*$E$10</f>
        <v>0</v>
      </c>
      <c r="I32" s="101" t="str">
        <f>IF(F32=TRUE,E32*H32,"")</f>
        <v/>
      </c>
      <c r="J32" s="76"/>
    </row>
    <row r="33" spans="1:10" ht="14.45" hidden="1" customHeight="1" thickBot="1" x14ac:dyDescent="0.3">
      <c r="A33" s="61"/>
      <c r="B33" s="152" t="s">
        <v>31</v>
      </c>
      <c r="C33" s="152"/>
      <c r="D33" s="153"/>
      <c r="E33" s="69">
        <v>4</v>
      </c>
      <c r="F33" s="25" t="b">
        <v>0</v>
      </c>
      <c r="G33" s="132"/>
      <c r="H33" s="65">
        <f>$I$14*$E$10</f>
        <v>0</v>
      </c>
      <c r="I33" s="101" t="str">
        <f>IF(F33=TRUE,E33*H33,"")</f>
        <v/>
      </c>
      <c r="J33" s="76"/>
    </row>
    <row r="34" spans="1:10" ht="14.45" hidden="1" customHeight="1" thickBot="1" x14ac:dyDescent="0.3">
      <c r="A34" s="61"/>
      <c r="B34" s="152" t="s">
        <v>28</v>
      </c>
      <c r="C34" s="152"/>
      <c r="D34" s="153"/>
      <c r="E34" s="69">
        <v>5</v>
      </c>
      <c r="F34" s="12" t="b">
        <v>0</v>
      </c>
      <c r="G34" s="132"/>
      <c r="H34" s="66">
        <f>$I$14*$E$10</f>
        <v>0</v>
      </c>
      <c r="I34" s="101" t="str">
        <f>IF(F34=TRUE,E34*H34,"")</f>
        <v/>
      </c>
      <c r="J34" s="76"/>
    </row>
    <row r="35" spans="1:10" ht="14.45" hidden="1" customHeight="1" x14ac:dyDescent="0.25">
      <c r="A35" s="61"/>
      <c r="B35" s="152" t="s">
        <v>41</v>
      </c>
      <c r="C35" s="152"/>
      <c r="D35" s="153"/>
      <c r="E35" s="69">
        <v>3</v>
      </c>
      <c r="F35" s="12" t="b">
        <v>0</v>
      </c>
      <c r="G35" s="132"/>
      <c r="H35" s="65">
        <f>$I$14*$E$10</f>
        <v>0</v>
      </c>
      <c r="I35" s="101" t="str">
        <f>IF(F35=TRUE,IF(E35*H35&lt;40,40,E35*H35),"")</f>
        <v/>
      </c>
      <c r="J35" s="76"/>
    </row>
    <row r="36" spans="1:10" ht="14.45" hidden="1" customHeight="1" thickBot="1" x14ac:dyDescent="0.3">
      <c r="A36" s="61"/>
      <c r="B36" s="152" t="s">
        <v>51</v>
      </c>
      <c r="C36" s="152"/>
      <c r="D36" s="153"/>
      <c r="E36" s="69">
        <v>3</v>
      </c>
      <c r="F36" s="12" t="b">
        <v>0</v>
      </c>
      <c r="G36" s="132"/>
      <c r="H36" s="65">
        <f>$I$14*$E$10</f>
        <v>0</v>
      </c>
      <c r="I36" s="101" t="str">
        <f>IF(F36=TRUE,E36*H36,"")</f>
        <v/>
      </c>
      <c r="J36" s="76"/>
    </row>
    <row r="37" spans="1:10" ht="14.45" hidden="1" customHeight="1" thickBot="1" x14ac:dyDescent="0.3">
      <c r="A37" s="61"/>
      <c r="B37" s="152" t="s">
        <v>29</v>
      </c>
      <c r="C37" s="152"/>
      <c r="D37" s="153"/>
      <c r="E37" s="69">
        <v>3</v>
      </c>
      <c r="F37" s="12" t="b">
        <v>0</v>
      </c>
      <c r="G37" s="132"/>
      <c r="H37" s="66">
        <f>$E$10</f>
        <v>0</v>
      </c>
      <c r="I37" s="101" t="str">
        <f>IF(F37=TRUE,E37*E10,"")</f>
        <v/>
      </c>
      <c r="J37" s="76"/>
    </row>
    <row r="38" spans="1:10" ht="14.45" hidden="1" customHeight="1" thickBot="1" x14ac:dyDescent="0.3">
      <c r="A38" s="61"/>
      <c r="B38" s="156" t="s">
        <v>49</v>
      </c>
      <c r="C38" s="156"/>
      <c r="D38" s="157"/>
      <c r="E38" s="70">
        <v>50</v>
      </c>
      <c r="F38" s="12" t="b">
        <v>0</v>
      </c>
      <c r="G38" s="132"/>
      <c r="H38" s="66">
        <f>IF(F$38=TRUE,E38,0)</f>
        <v>0</v>
      </c>
      <c r="I38" s="101" t="str">
        <f>IF(F38=TRUE,E38,"")</f>
        <v/>
      </c>
      <c r="J38" s="76"/>
    </row>
    <row r="39" spans="1:10" ht="14.45" hidden="1" customHeight="1" thickBot="1" x14ac:dyDescent="0.3">
      <c r="A39" s="61"/>
      <c r="B39" s="152" t="s">
        <v>16</v>
      </c>
      <c r="C39" s="152"/>
      <c r="D39" s="153"/>
      <c r="E39" s="69">
        <v>96</v>
      </c>
      <c r="F39" s="9"/>
      <c r="G39" s="132"/>
      <c r="H39" s="134">
        <f>$I$9</f>
        <v>0</v>
      </c>
      <c r="I39" s="101" t="str">
        <f>IF(H39=0,"",$E$39*$H$39)</f>
        <v/>
      </c>
      <c r="J39" s="76"/>
    </row>
    <row r="40" spans="1:10" ht="14.45" hidden="1" customHeight="1" thickBot="1" x14ac:dyDescent="0.3">
      <c r="A40" s="61"/>
      <c r="B40" s="152" t="s">
        <v>32</v>
      </c>
      <c r="C40" s="152"/>
      <c r="D40" s="153"/>
      <c r="E40" s="71">
        <v>0.5</v>
      </c>
      <c r="F40" s="9"/>
      <c r="G40" s="132"/>
      <c r="H40" s="135">
        <f>I10*E10</f>
        <v>0</v>
      </c>
      <c r="I40" s="101" t="str">
        <f>IF($H$40=0,"",$H$40*$E$40)</f>
        <v/>
      </c>
      <c r="J40" s="76"/>
    </row>
    <row r="41" spans="1:10" ht="14.45" hidden="1" customHeight="1" thickBot="1" x14ac:dyDescent="0.3">
      <c r="A41" s="61"/>
      <c r="B41" s="154" t="s">
        <v>33</v>
      </c>
      <c r="C41" s="154"/>
      <c r="D41" s="155"/>
      <c r="E41" s="69">
        <v>4</v>
      </c>
      <c r="F41" s="9"/>
      <c r="G41" s="132"/>
      <c r="H41" s="135">
        <f>$I$11*$E$10</f>
        <v>0</v>
      </c>
      <c r="I41" s="101" t="str">
        <f>IF($H$41=0,"",$H$41*$E$41)</f>
        <v/>
      </c>
      <c r="J41" s="76"/>
    </row>
    <row r="42" spans="1:10" ht="14.45" hidden="1" customHeight="1" thickBot="1" x14ac:dyDescent="0.3">
      <c r="A42" s="61"/>
      <c r="B42" s="99" t="s">
        <v>67</v>
      </c>
      <c r="C42" s="92" t="s">
        <v>68</v>
      </c>
      <c r="D42" s="93">
        <v>0</v>
      </c>
      <c r="E42" s="72" t="str">
        <f>IF(C42="1/2"&amp;CHAR(34)&amp;" Standoffs","$10",IF(C42="3/4"&amp;CHAR(34)&amp;" Standoffs","$12",IF(C42="1"&amp;CHAR(34)&amp;" Standoffs","$15",IF(C42="Select Size","$0",IF(C42="1/2"&amp;CHAR(34)&amp;" Caps (Set of 4)","$12")))))</f>
        <v>$0</v>
      </c>
      <c r="F42" s="9" t="str">
        <f t="shared" ref="F42:F47" si="1">IF(D42&lt;1,"TRUE")</f>
        <v>TRUE</v>
      </c>
      <c r="G42" s="132"/>
      <c r="H42" s="65">
        <f t="shared" ref="H42:H47" si="2">D42*E42</f>
        <v>0</v>
      </c>
      <c r="I42" s="101" t="str">
        <f t="shared" ref="I42:I47" si="3">IF(F42=FALSE,D42*E42,"")</f>
        <v/>
      </c>
      <c r="J42" s="76"/>
    </row>
    <row r="43" spans="1:10" ht="14.45" hidden="1" customHeight="1" thickBot="1" x14ac:dyDescent="0.3">
      <c r="A43" s="61"/>
      <c r="B43" s="99" t="s">
        <v>91</v>
      </c>
      <c r="C43" s="94" t="s">
        <v>68</v>
      </c>
      <c r="D43" s="93">
        <v>0</v>
      </c>
      <c r="E43" s="73" t="str">
        <f>IF(C43="Select Size","$0",IF(C43="6'","$41",IF(C43="8'","$45",IF(C43="10'","$50",IF(C43="12'","$56")))))</f>
        <v>$0</v>
      </c>
      <c r="F43" s="9" t="str">
        <f t="shared" si="1"/>
        <v>TRUE</v>
      </c>
      <c r="G43" s="132"/>
      <c r="H43" s="67">
        <f t="shared" si="2"/>
        <v>0</v>
      </c>
      <c r="I43" s="101" t="str">
        <f t="shared" si="3"/>
        <v/>
      </c>
      <c r="J43" s="76"/>
    </row>
    <row r="44" spans="1:10" ht="14.45" hidden="1" customHeight="1" thickBot="1" x14ac:dyDescent="0.3">
      <c r="A44" s="61" t="s">
        <v>64</v>
      </c>
      <c r="B44" s="98" t="s">
        <v>65</v>
      </c>
      <c r="C44" s="94" t="s">
        <v>68</v>
      </c>
      <c r="D44" s="93">
        <v>0</v>
      </c>
      <c r="E44" s="73" t="str">
        <f>IF(C44="Select Size","$0",IF(C44="6'","$41",IF(C44="8'","$45",IF(C44="10'","$50",IF(C44="12'","$56")))))</f>
        <v>$0</v>
      </c>
      <c r="F44" s="9" t="str">
        <f t="shared" si="1"/>
        <v>TRUE</v>
      </c>
      <c r="G44" s="132"/>
      <c r="H44" s="67">
        <f t="shared" si="2"/>
        <v>0</v>
      </c>
      <c r="I44" s="101" t="str">
        <f t="shared" si="3"/>
        <v/>
      </c>
      <c r="J44" s="76"/>
    </row>
    <row r="45" spans="1:10" ht="14.45" hidden="1" customHeight="1" thickBot="1" x14ac:dyDescent="0.3">
      <c r="B45" s="97" t="s">
        <v>66</v>
      </c>
      <c r="C45" s="94" t="s">
        <v>68</v>
      </c>
      <c r="D45" s="93">
        <v>0</v>
      </c>
      <c r="E45" s="73" t="str">
        <f>IF(C45="42"&amp;CHAR(34)&amp;"","$118",IF(C45="48"&amp;CHAR(34)&amp;"","$118",IF(C45="66"&amp;CHAR(34)&amp;"","$175",IF(C45="Select Size","$0",))))</f>
        <v>$0</v>
      </c>
      <c r="F45" s="9" t="str">
        <f t="shared" si="1"/>
        <v>TRUE</v>
      </c>
      <c r="G45" s="132"/>
      <c r="H45" s="67">
        <f t="shared" si="2"/>
        <v>0</v>
      </c>
      <c r="I45" s="101" t="str">
        <f t="shared" si="3"/>
        <v/>
      </c>
      <c r="J45" s="76"/>
    </row>
    <row r="46" spans="1:10" ht="14.45" hidden="1" customHeight="1" thickBot="1" x14ac:dyDescent="0.3">
      <c r="B46" s="97" t="s">
        <v>79</v>
      </c>
      <c r="C46" s="94" t="s">
        <v>68</v>
      </c>
      <c r="D46" s="93">
        <v>0</v>
      </c>
      <c r="E46" s="73" t="str">
        <f>IF(C46="HS-1","$8",IF(C46="FB-021","$8",IF(C46="40"&amp;CHAR(34)&amp;" Gear Clamp","$8",IF(C46="Select Size","$0",))))</f>
        <v>$0</v>
      </c>
      <c r="F46" s="9" t="str">
        <f t="shared" si="1"/>
        <v>TRUE</v>
      </c>
      <c r="G46" s="132"/>
      <c r="H46" s="67">
        <f t="shared" si="2"/>
        <v>0</v>
      </c>
      <c r="I46" s="101" t="str">
        <f t="shared" si="3"/>
        <v/>
      </c>
      <c r="J46" s="76"/>
    </row>
    <row r="47" spans="1:10" ht="14.45" hidden="1" customHeight="1" x14ac:dyDescent="0.25">
      <c r="B47" s="97" t="s">
        <v>90</v>
      </c>
      <c r="C47" s="95" t="s">
        <v>68</v>
      </c>
      <c r="D47" s="96">
        <v>0</v>
      </c>
      <c r="E47" s="73" t="str">
        <f>IF(C47="HS-1","$8",IF(C47="FB-021","$8",IF(C47="40"&amp;CHAR(34)&amp;" Gear Clamp","$8",IF(C47="Select Size","$0",))))</f>
        <v>$0</v>
      </c>
      <c r="F47" s="9" t="str">
        <f t="shared" si="1"/>
        <v>TRUE</v>
      </c>
      <c r="G47" s="132"/>
      <c r="H47" s="67">
        <f t="shared" si="2"/>
        <v>0</v>
      </c>
      <c r="I47" s="100" t="str">
        <f t="shared" si="3"/>
        <v/>
      </c>
      <c r="J47" s="76"/>
    </row>
    <row r="48" spans="1:10" ht="14.45" customHeight="1" x14ac:dyDescent="0.25">
      <c r="A48" s="112"/>
      <c r="B48" s="113"/>
      <c r="C48" s="114"/>
      <c r="D48" s="115"/>
      <c r="E48" s="74"/>
      <c r="F48" s="74"/>
      <c r="G48" s="150" t="s">
        <v>12</v>
      </c>
      <c r="H48" s="150"/>
      <c r="I48" s="116">
        <f>SUM(I29:I47)</f>
        <v>0</v>
      </c>
      <c r="J48" s="14"/>
    </row>
    <row r="49" spans="1:14" ht="14.45" customHeight="1" x14ac:dyDescent="0.25">
      <c r="A49" s="112"/>
      <c r="B49" s="113"/>
      <c r="C49" s="114"/>
      <c r="D49" s="115"/>
      <c r="E49" s="74"/>
      <c r="F49" s="74"/>
      <c r="G49" s="149" t="s">
        <v>94</v>
      </c>
      <c r="H49" s="149"/>
      <c r="I49" s="116" t="e">
        <f>(I27+I48)/E10</f>
        <v>#VALUE!</v>
      </c>
      <c r="J49" s="14"/>
    </row>
    <row r="50" spans="1:14" ht="14.45" customHeight="1" x14ac:dyDescent="0.25">
      <c r="A50" s="114"/>
      <c r="B50" s="113"/>
      <c r="C50" s="74"/>
      <c r="D50" s="74"/>
      <c r="E50" s="74"/>
      <c r="F50" s="74"/>
      <c r="G50" s="150" t="s">
        <v>83</v>
      </c>
      <c r="H50" s="150"/>
      <c r="I50" s="117" t="e">
        <f>I27+I48</f>
        <v>#VALUE!</v>
      </c>
      <c r="J50" s="14"/>
    </row>
    <row r="51" spans="1:14" ht="14.45" customHeight="1" thickBot="1" x14ac:dyDescent="0.3">
      <c r="A51" s="118"/>
      <c r="B51" s="167" t="s">
        <v>14</v>
      </c>
      <c r="C51" s="167"/>
      <c r="D51" s="167"/>
      <c r="E51" s="119" t="s">
        <v>8</v>
      </c>
      <c r="F51" s="107"/>
      <c r="G51" s="110" t="s">
        <v>9</v>
      </c>
      <c r="H51" s="107"/>
      <c r="I51" s="107"/>
      <c r="J51" s="107"/>
    </row>
    <row r="52" spans="1:14" s="122" customFormat="1" ht="14.45" customHeight="1" x14ac:dyDescent="0.25">
      <c r="A52" s="124"/>
      <c r="B52" s="175" t="str">
        <f>CONCATENATE(TEXT($E$10,0)," at ",TEXT($E$52,"0%")," off")</f>
        <v>0 at 0% off</v>
      </c>
      <c r="C52" s="169" t="s">
        <v>78</v>
      </c>
      <c r="D52" s="171">
        <v>0</v>
      </c>
      <c r="E52" s="172">
        <f>IF($E$10&gt;23,0.25,IF($E$10&gt;=10,0.15,IF($E$10&gt;=3,0.1,0)))</f>
        <v>0</v>
      </c>
      <c r="F52" s="174" t="b">
        <v>0</v>
      </c>
      <c r="G52" s="175"/>
      <c r="H52" s="175"/>
      <c r="I52" s="179" t="e">
        <f>IF(F52=FALSE,E52*-1,D52*-1)*I50</f>
        <v>#VALUE!</v>
      </c>
      <c r="J52" s="181"/>
    </row>
    <row r="53" spans="1:14" s="122" customFormat="1" ht="14.45" customHeight="1" thickBot="1" x14ac:dyDescent="0.3">
      <c r="A53" s="124"/>
      <c r="B53" s="175"/>
      <c r="C53" s="170"/>
      <c r="D53" s="171"/>
      <c r="E53" s="173"/>
      <c r="F53" s="174"/>
      <c r="G53" s="175"/>
      <c r="H53" s="175"/>
      <c r="I53" s="180"/>
      <c r="J53" s="181"/>
    </row>
    <row r="54" spans="1:14" ht="14.45" customHeight="1" x14ac:dyDescent="0.25">
      <c r="B54" s="168" t="s">
        <v>39</v>
      </c>
      <c r="C54" s="168"/>
      <c r="D54" s="168"/>
      <c r="E54" s="77" t="s">
        <v>8</v>
      </c>
      <c r="H54" s="77" t="s">
        <v>19</v>
      </c>
    </row>
    <row r="55" spans="1:14" ht="14.45" customHeight="1" x14ac:dyDescent="0.25">
      <c r="A55" s="87"/>
      <c r="B55" s="152" t="s">
        <v>55</v>
      </c>
      <c r="C55" s="152"/>
      <c r="D55" s="152"/>
      <c r="E55" s="88">
        <v>70</v>
      </c>
      <c r="F55" s="83"/>
      <c r="G55" s="83"/>
      <c r="H55" s="83">
        <f>$E$11</f>
        <v>0</v>
      </c>
      <c r="I55" s="85">
        <f>H55*E55</f>
        <v>0</v>
      </c>
      <c r="J55" s="83"/>
    </row>
    <row r="56" spans="1:14" s="79" customFormat="1" ht="14.45" customHeight="1" x14ac:dyDescent="0.25">
      <c r="A56" s="81"/>
      <c r="B56" s="154" t="s">
        <v>56</v>
      </c>
      <c r="C56" s="154"/>
      <c r="D56" s="154"/>
      <c r="E56" s="78">
        <v>70</v>
      </c>
      <c r="H56" s="79">
        <f>I8</f>
        <v>0</v>
      </c>
      <c r="I56" s="80">
        <f>H56*E56</f>
        <v>0</v>
      </c>
    </row>
    <row r="57" spans="1:14" ht="14.45" customHeight="1" x14ac:dyDescent="0.25">
      <c r="A57" s="81"/>
      <c r="B57" s="152" t="s">
        <v>38</v>
      </c>
      <c r="C57" s="152"/>
      <c r="D57" s="165"/>
      <c r="E57" s="82">
        <v>0.4</v>
      </c>
      <c r="F57" s="83"/>
      <c r="G57" s="84"/>
      <c r="H57" s="83"/>
      <c r="I57" s="85">
        <f>$I$12*(1+$E$57)</f>
        <v>0</v>
      </c>
      <c r="J57" s="79"/>
    </row>
    <row r="58" spans="1:14" ht="14.45" customHeight="1" x14ac:dyDescent="0.25">
      <c r="A58" s="45"/>
      <c r="B58" s="45"/>
      <c r="C58" s="45"/>
      <c r="D58" s="45"/>
      <c r="E58" s="45"/>
      <c r="F58" s="46"/>
      <c r="G58" s="47" t="s">
        <v>84</v>
      </c>
      <c r="H58" s="64" t="str">
        <f>IF(I58="YES", (2.31%),"--")</f>
        <v>--</v>
      </c>
      <c r="I58" s="27" t="s">
        <v>59</v>
      </c>
      <c r="J58" s="32"/>
    </row>
    <row r="59" spans="1:14" ht="14.45" customHeight="1" x14ac:dyDescent="0.25">
      <c r="A59" s="8"/>
      <c r="G59" s="146" t="s">
        <v>95</v>
      </c>
      <c r="H59" s="146"/>
      <c r="I59" s="130" t="str">
        <f>IF(I58="YES", ROUND(I60*H58,2),"0")</f>
        <v>0</v>
      </c>
      <c r="J59" s="129"/>
    </row>
    <row r="60" spans="1:14" ht="14.25" customHeight="1" x14ac:dyDescent="0.25">
      <c r="B60" s="166"/>
      <c r="C60" s="166"/>
      <c r="D60" s="166"/>
      <c r="F60" s="38"/>
      <c r="G60" s="143" t="s">
        <v>85</v>
      </c>
      <c r="H60" s="143"/>
      <c r="I60" s="62" t="e">
        <f>I57+I56+I55+I52+I50</f>
        <v>#VALUE!</v>
      </c>
      <c r="J60" s="63"/>
      <c r="L60" s="34" t="str">
        <f>IF(H58="No", (2.31%),"")</f>
        <v/>
      </c>
      <c r="N60" s="19"/>
    </row>
    <row r="61" spans="1:14" ht="18.75" customHeight="1" x14ac:dyDescent="0.25">
      <c r="E61" s="102"/>
      <c r="F61" s="41"/>
      <c r="G61" s="42"/>
      <c r="H61" s="40" t="s">
        <v>26</v>
      </c>
      <c r="I61" s="39" t="e">
        <f>ROUND(I60*0.05,2)</f>
        <v>#VALUE!</v>
      </c>
      <c r="J61" s="38"/>
    </row>
    <row r="62" spans="1:14" s="79" customFormat="1" ht="14.45" customHeight="1" x14ac:dyDescent="0.25">
      <c r="A62" s="8"/>
      <c r="B62" s="8"/>
      <c r="C62" s="8"/>
      <c r="D62" s="8"/>
      <c r="E62" s="8"/>
      <c r="F62" s="38"/>
      <c r="G62" s="89"/>
      <c r="H62" s="90" t="s">
        <v>57</v>
      </c>
      <c r="I62" s="128" t="e">
        <f>IF(I58="No", ROUND(I60*0.07,2),"0")</f>
        <v>#VALUE!</v>
      </c>
      <c r="J62" s="91"/>
    </row>
    <row r="64" spans="1:14" ht="14.45" customHeight="1" x14ac:dyDescent="0.3">
      <c r="A64" s="43"/>
      <c r="B64" s="43"/>
      <c r="C64" s="43"/>
      <c r="D64" s="43"/>
      <c r="E64" s="43"/>
      <c r="F64" s="43"/>
      <c r="G64" s="144" t="s">
        <v>92</v>
      </c>
      <c r="H64" s="144"/>
      <c r="I64" s="105" t="e">
        <f>I59+I61+I62</f>
        <v>#VALUE!</v>
      </c>
      <c r="J64" s="43"/>
      <c r="K64" s="127"/>
      <c r="L64" s="127"/>
    </row>
    <row r="65" spans="1:12" ht="14.45" customHeight="1" x14ac:dyDescent="0.3">
      <c r="A65" s="103"/>
      <c r="B65" s="103"/>
      <c r="C65" s="103"/>
      <c r="D65" s="103"/>
      <c r="E65" s="103"/>
      <c r="F65" s="103"/>
      <c r="G65" s="145" t="s">
        <v>93</v>
      </c>
      <c r="H65" s="145"/>
      <c r="I65" s="104" t="e">
        <f>I60+I61+I62</f>
        <v>#VALUE!</v>
      </c>
      <c r="J65" s="103"/>
      <c r="K65" s="44"/>
      <c r="L65" s="44"/>
    </row>
    <row r="66" spans="1:12" ht="14.45" hidden="1" customHeight="1" x14ac:dyDescent="0.25">
      <c r="A66" s="125"/>
      <c r="B66" s="125"/>
      <c r="C66" s="125"/>
      <c r="D66" s="125"/>
      <c r="E66" s="125"/>
      <c r="F66" s="125"/>
      <c r="G66" s="125"/>
      <c r="H66" s="125"/>
      <c r="I66" s="125"/>
      <c r="J66" s="125"/>
      <c r="K66" s="125"/>
      <c r="L66" s="125"/>
    </row>
    <row r="67" spans="1:12" ht="14.45" hidden="1" customHeight="1" x14ac:dyDescent="0.25">
      <c r="A67" s="125"/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</row>
    <row r="68" spans="1:12" ht="14.45" hidden="1" customHeight="1" x14ac:dyDescent="0.25">
      <c r="A68" s="125"/>
      <c r="B68" t="s">
        <v>50</v>
      </c>
      <c r="C68"/>
      <c r="D68"/>
      <c r="J68" s="125"/>
      <c r="K68" s="125"/>
      <c r="L68" s="125"/>
    </row>
    <row r="69" spans="1:12" ht="14.45" hidden="1" customHeight="1" x14ac:dyDescent="0.25">
      <c r="A69" s="125"/>
      <c r="B69" s="1" t="s">
        <v>88</v>
      </c>
      <c r="C69"/>
      <c r="D69"/>
      <c r="J69" s="125"/>
      <c r="K69" s="125"/>
      <c r="L69" s="125"/>
    </row>
    <row r="70" spans="1:12" ht="14.45" hidden="1" customHeight="1" x14ac:dyDescent="0.25">
      <c r="A70" s="125"/>
      <c r="B70" t="s">
        <v>48</v>
      </c>
      <c r="C70"/>
      <c r="D70"/>
      <c r="J70" s="125"/>
      <c r="K70" s="125"/>
      <c r="L70" s="125"/>
    </row>
    <row r="71" spans="1:12" ht="14.45" hidden="1" customHeight="1" x14ac:dyDescent="0.25">
      <c r="A71" s="125"/>
      <c r="B71" s="125" t="s">
        <v>0</v>
      </c>
      <c r="C71" s="125"/>
      <c r="D71" s="125"/>
      <c r="E71" s="125"/>
      <c r="F71" s="125"/>
      <c r="G71" s="125"/>
      <c r="H71" s="125"/>
      <c r="I71" s="125"/>
      <c r="J71" s="125"/>
      <c r="K71" s="125"/>
      <c r="L71" s="125"/>
    </row>
    <row r="72" spans="1:12" ht="14.45" hidden="1" customHeight="1" x14ac:dyDescent="0.25">
      <c r="A72" s="125"/>
      <c r="B72" t="s">
        <v>1</v>
      </c>
      <c r="C72"/>
      <c r="D72"/>
      <c r="E72"/>
      <c r="F72"/>
      <c r="G72" s="122"/>
      <c r="H72" s="131"/>
      <c r="I72"/>
      <c r="J72" s="125"/>
      <c r="K72" s="125"/>
      <c r="L72" s="125"/>
    </row>
    <row r="73" spans="1:12" ht="14.45" hidden="1" customHeight="1" x14ac:dyDescent="0.25">
      <c r="A73" s="125"/>
      <c r="B73" t="s">
        <v>2</v>
      </c>
      <c r="C73"/>
      <c r="D73"/>
      <c r="E73"/>
      <c r="F73"/>
      <c r="G73" s="147" t="s">
        <v>95</v>
      </c>
      <c r="H73" s="147"/>
      <c r="I73" t="str">
        <f>IF(I58="YES", ROUND(I60*H58,2),"0")</f>
        <v>0</v>
      </c>
      <c r="J73" s="125"/>
      <c r="K73" s="125"/>
      <c r="L73" s="125"/>
    </row>
    <row r="74" spans="1:12" ht="14.45" hidden="1" customHeight="1" x14ac:dyDescent="0.25">
      <c r="A74" s="125"/>
      <c r="B74" t="s">
        <v>3</v>
      </c>
      <c r="C74"/>
      <c r="D74"/>
      <c r="G74" s="148" t="s">
        <v>57</v>
      </c>
      <c r="H74" s="148"/>
      <c r="I74" s="8" t="e">
        <f>IF(I58="No", ROUND(I60*0.07,2),"0")</f>
        <v>#VALUE!</v>
      </c>
      <c r="J74" s="125"/>
      <c r="K74" s="125"/>
      <c r="L74" s="125"/>
    </row>
    <row r="75" spans="1:12" ht="14.45" hidden="1" customHeight="1" x14ac:dyDescent="0.25">
      <c r="A75" s="125"/>
      <c r="B75" t="s">
        <v>4</v>
      </c>
      <c r="C75"/>
      <c r="D75"/>
      <c r="J75" s="125"/>
      <c r="K75" s="125"/>
      <c r="L75" s="125"/>
    </row>
    <row r="76" spans="1:12" ht="14.45" hidden="1" customHeight="1" x14ac:dyDescent="0.25">
      <c r="A76" s="125"/>
      <c r="B76" t="s">
        <v>5</v>
      </c>
      <c r="C76"/>
      <c r="D76"/>
      <c r="J76" s="125"/>
      <c r="K76" s="125"/>
      <c r="L76" s="125"/>
    </row>
    <row r="77" spans="1:12" ht="14.45" hidden="1" customHeight="1" x14ac:dyDescent="0.25">
      <c r="A77" s="125"/>
      <c r="B77" t="s">
        <v>6</v>
      </c>
      <c r="C77"/>
      <c r="D77"/>
      <c r="J77" s="125"/>
      <c r="K77" s="125"/>
      <c r="L77" s="125"/>
    </row>
    <row r="78" spans="1:12" ht="14.45" hidden="1" customHeight="1" x14ac:dyDescent="0.25">
      <c r="A78" s="125"/>
      <c r="B78" t="s">
        <v>7</v>
      </c>
      <c r="C78" s="15" t="s">
        <v>61</v>
      </c>
      <c r="D78" s="23"/>
      <c r="J78" s="125"/>
      <c r="K78" s="125"/>
      <c r="L78" s="125"/>
    </row>
    <row r="79" spans="1:12" ht="14.45" hidden="1" customHeight="1" x14ac:dyDescent="0.25">
      <c r="A79" s="125"/>
      <c r="B79" s="8" t="s">
        <v>49</v>
      </c>
      <c r="J79" s="125"/>
      <c r="K79" s="125"/>
      <c r="L79" s="125"/>
    </row>
    <row r="80" spans="1:12" ht="14.45" hidden="1" customHeight="1" x14ac:dyDescent="0.25">
      <c r="A80" s="125"/>
      <c r="B80" s="22"/>
      <c r="J80" s="125"/>
      <c r="K80" s="125"/>
      <c r="L80" s="125"/>
    </row>
    <row r="81" spans="1:12" ht="14.45" hidden="1" customHeight="1" x14ac:dyDescent="0.25">
      <c r="A81" s="125"/>
      <c r="B81" s="22"/>
      <c r="J81" s="125"/>
      <c r="K81" s="125"/>
      <c r="L81" s="125"/>
    </row>
    <row r="82" spans="1:12" ht="14.45" hidden="1" customHeight="1" x14ac:dyDescent="0.25">
      <c r="A82" s="125"/>
      <c r="B82" s="22"/>
      <c r="J82" s="125"/>
      <c r="K82" s="125"/>
      <c r="L82" s="125"/>
    </row>
    <row r="83" spans="1:12" ht="14.45" hidden="1" customHeight="1" x14ac:dyDescent="0.25">
      <c r="A83" s="125"/>
      <c r="B83" s="22"/>
      <c r="J83" s="125"/>
      <c r="K83" s="125"/>
      <c r="L83" s="125"/>
    </row>
    <row r="84" spans="1:12" ht="14.45" hidden="1" customHeight="1" x14ac:dyDescent="0.25">
      <c r="A84" s="125"/>
      <c r="E84" s="28" t="s">
        <v>50</v>
      </c>
      <c r="H84" s="8" t="s">
        <v>69</v>
      </c>
      <c r="J84" s="125"/>
      <c r="K84" s="125"/>
      <c r="L84" s="125"/>
    </row>
    <row r="85" spans="1:12" ht="14.45" hidden="1" customHeight="1" x14ac:dyDescent="0.25">
      <c r="A85" s="125"/>
      <c r="E85" s="28" t="s">
        <v>68</v>
      </c>
      <c r="J85" s="125"/>
      <c r="K85" s="125"/>
      <c r="L85" s="125"/>
    </row>
    <row r="86" spans="1:12" ht="14.45" hidden="1" customHeight="1" x14ac:dyDescent="0.25">
      <c r="A86" s="125"/>
      <c r="E86" s="28" t="s">
        <v>75</v>
      </c>
      <c r="H86" s="30" t="s">
        <v>50</v>
      </c>
      <c r="J86" s="125"/>
      <c r="K86" s="125"/>
      <c r="L86" s="125"/>
    </row>
    <row r="87" spans="1:12" ht="14.45" hidden="1" customHeight="1" x14ac:dyDescent="0.25">
      <c r="A87" s="125"/>
      <c r="E87" s="28" t="s">
        <v>76</v>
      </c>
      <c r="H87" s="28" t="s">
        <v>68</v>
      </c>
      <c r="J87" s="125"/>
      <c r="K87" s="125"/>
      <c r="L87" s="125"/>
    </row>
    <row r="88" spans="1:12" ht="14.45" hidden="1" customHeight="1" x14ac:dyDescent="0.25">
      <c r="A88" s="125"/>
      <c r="E88" s="28" t="s">
        <v>77</v>
      </c>
      <c r="H88" s="29" t="s">
        <v>71</v>
      </c>
      <c r="J88" s="125"/>
      <c r="K88" s="125"/>
      <c r="L88" s="125"/>
    </row>
    <row r="89" spans="1:12" ht="14.45" hidden="1" customHeight="1" x14ac:dyDescent="0.25">
      <c r="A89" s="125"/>
      <c r="H89" s="29" t="s">
        <v>72</v>
      </c>
      <c r="J89" s="125"/>
      <c r="K89" s="125"/>
      <c r="L89" s="125"/>
    </row>
    <row r="90" spans="1:12" ht="14.45" hidden="1" customHeight="1" x14ac:dyDescent="0.25">
      <c r="A90" s="125"/>
      <c r="H90" s="29" t="s">
        <v>73</v>
      </c>
      <c r="J90" s="125"/>
      <c r="K90" s="125"/>
      <c r="L90" s="125"/>
    </row>
    <row r="91" spans="1:12" ht="14.45" hidden="1" customHeight="1" x14ac:dyDescent="0.25">
      <c r="A91" s="125"/>
      <c r="H91" s="31" t="s">
        <v>74</v>
      </c>
      <c r="J91" s="125"/>
      <c r="K91" s="125"/>
      <c r="L91" s="125"/>
    </row>
    <row r="92" spans="1:12" ht="14.45" hidden="1" customHeight="1" x14ac:dyDescent="0.25">
      <c r="A92" s="125"/>
      <c r="E92" s="17" t="s">
        <v>50</v>
      </c>
      <c r="J92" s="125"/>
      <c r="K92" s="125"/>
      <c r="L92" s="125"/>
    </row>
    <row r="93" spans="1:12" ht="14.45" hidden="1" customHeight="1" x14ac:dyDescent="0.25">
      <c r="A93" s="125"/>
      <c r="E93" s="17" t="s">
        <v>68</v>
      </c>
      <c r="H93" s="8" t="s">
        <v>70</v>
      </c>
      <c r="J93" s="125"/>
      <c r="K93" s="125"/>
      <c r="L93" s="125"/>
    </row>
    <row r="94" spans="1:12" ht="14.45" hidden="1" customHeight="1" x14ac:dyDescent="0.25">
      <c r="A94" s="125"/>
      <c r="E94" s="17" t="s">
        <v>52</v>
      </c>
      <c r="J94" s="125"/>
      <c r="K94" s="125"/>
      <c r="L94" s="125"/>
    </row>
    <row r="95" spans="1:12" ht="14.45" hidden="1" customHeight="1" x14ac:dyDescent="0.25">
      <c r="A95" s="125"/>
      <c r="E95" s="17" t="s">
        <v>53</v>
      </c>
      <c r="F95" s="18"/>
      <c r="H95" s="30" t="s">
        <v>50</v>
      </c>
      <c r="J95" s="125"/>
      <c r="K95" s="125"/>
      <c r="L95" s="125"/>
    </row>
    <row r="96" spans="1:12" ht="14.45" hidden="1" customHeight="1" x14ac:dyDescent="0.25">
      <c r="A96" s="125"/>
      <c r="E96" s="17" t="s">
        <v>54</v>
      </c>
      <c r="H96" s="28" t="s">
        <v>68</v>
      </c>
      <c r="J96" s="125"/>
      <c r="K96" s="125"/>
      <c r="L96" s="125"/>
    </row>
    <row r="97" spans="1:12" s="126" customFormat="1" ht="17.25" hidden="1" customHeight="1" x14ac:dyDescent="0.3">
      <c r="A97" s="125"/>
      <c r="B97" s="8"/>
      <c r="C97" s="8"/>
      <c r="D97" s="8"/>
      <c r="E97" s="17" t="s">
        <v>62</v>
      </c>
      <c r="F97" s="8"/>
      <c r="G97" s="8"/>
      <c r="H97" s="29" t="s">
        <v>71</v>
      </c>
      <c r="I97" s="8"/>
      <c r="J97" s="125"/>
      <c r="K97" s="125"/>
      <c r="L97" s="125"/>
    </row>
    <row r="98" spans="1:12" ht="14.45" hidden="1" customHeight="1" x14ac:dyDescent="0.25">
      <c r="H98" s="29" t="s">
        <v>72</v>
      </c>
      <c r="K98" s="33"/>
    </row>
    <row r="99" spans="1:12" ht="14.45" hidden="1" customHeight="1" x14ac:dyDescent="0.25">
      <c r="B99"/>
      <c r="H99" s="29" t="s">
        <v>73</v>
      </c>
    </row>
    <row r="100" spans="1:12" ht="14.45" hidden="1" customHeight="1" x14ac:dyDescent="0.25">
      <c r="B100"/>
      <c r="H100" s="29"/>
    </row>
    <row r="101" spans="1:12" ht="14.45" hidden="1" customHeight="1" x14ac:dyDescent="0.25">
      <c r="B101"/>
      <c r="H101" s="31" t="s">
        <v>74</v>
      </c>
    </row>
    <row r="102" spans="1:12" ht="14.45" hidden="1" customHeight="1" x14ac:dyDescent="0.25">
      <c r="B102"/>
    </row>
    <row r="103" spans="1:12" ht="14.45" hidden="1" customHeight="1" x14ac:dyDescent="0.25">
      <c r="B103"/>
    </row>
    <row r="104" spans="1:12" ht="14.25" hidden="1" customHeight="1" x14ac:dyDescent="0.25">
      <c r="B104"/>
    </row>
    <row r="105" spans="1:12" ht="14.45" hidden="1" customHeight="1" x14ac:dyDescent="0.25">
      <c r="B105"/>
    </row>
    <row r="106" spans="1:12" ht="14.45" hidden="1" customHeight="1" x14ac:dyDescent="0.25">
      <c r="B106" s="22"/>
    </row>
    <row r="107" spans="1:12" ht="14.45" hidden="1" customHeight="1" x14ac:dyDescent="0.25">
      <c r="B107" s="120" t="s">
        <v>14</v>
      </c>
      <c r="C107"/>
      <c r="D107"/>
    </row>
    <row r="108" spans="1:12" ht="0" hidden="1" customHeight="1" x14ac:dyDescent="0.25">
      <c r="B108" s="122" t="s">
        <v>87</v>
      </c>
      <c r="C108" s="121" t="e">
        <f>(E52*-1)*I50</f>
        <v>#VALUE!</v>
      </c>
      <c r="D108" s="122"/>
      <c r="E108" s="122"/>
      <c r="F108" s="122"/>
      <c r="G108" s="122"/>
      <c r="H108" s="122"/>
      <c r="I108" s="122"/>
    </row>
    <row r="109" spans="1:12" ht="0" hidden="1" customHeight="1" x14ac:dyDescent="0.25">
      <c r="B109" t="s">
        <v>86</v>
      </c>
      <c r="C109" s="123" t="e">
        <f>(D52*-1)*I50</f>
        <v>#VALUE!</v>
      </c>
      <c r="D109" s="122"/>
      <c r="E109" s="122" t="s">
        <v>60</v>
      </c>
      <c r="F109" s="122"/>
      <c r="G109" s="122"/>
      <c r="H109" s="122" t="s">
        <v>50</v>
      </c>
      <c r="I109" s="122"/>
    </row>
    <row r="110" spans="1:12" ht="0" hidden="1" customHeight="1" x14ac:dyDescent="0.25">
      <c r="B110"/>
      <c r="C110" s="11" t="e">
        <f>IF(F52=FALSE,C108,C109)</f>
        <v>#VALUE!</v>
      </c>
      <c r="D110"/>
      <c r="H110" s="8" t="s">
        <v>68</v>
      </c>
    </row>
    <row r="111" spans="1:12" ht="0" hidden="1" customHeight="1" x14ac:dyDescent="0.25">
      <c r="B111" s="86"/>
      <c r="C111"/>
      <c r="D111"/>
      <c r="E111" s="8" t="s">
        <v>58</v>
      </c>
      <c r="H111" s="8" t="s">
        <v>80</v>
      </c>
    </row>
    <row r="112" spans="1:12" ht="0" hidden="1" customHeight="1" x14ac:dyDescent="0.25">
      <c r="B112"/>
      <c r="C112" s="86"/>
      <c r="D112" s="86"/>
      <c r="E112" s="79" t="s">
        <v>59</v>
      </c>
      <c r="F112" s="79"/>
      <c r="G112" s="79"/>
      <c r="H112" s="79" t="s">
        <v>81</v>
      </c>
      <c r="I112" s="79"/>
    </row>
    <row r="113" spans="8:8" ht="0" hidden="1" customHeight="1" x14ac:dyDescent="0.25">
      <c r="H113" s="8" t="s">
        <v>82</v>
      </c>
    </row>
  </sheetData>
  <sheetProtection sheet="1" objects="1" scenarios="1" selectLockedCells="1"/>
  <mergeCells count="69">
    <mergeCell ref="I52:I53"/>
    <mergeCell ref="J52:J53"/>
    <mergeCell ref="B52:B53"/>
    <mergeCell ref="G48:H48"/>
    <mergeCell ref="C1:J1"/>
    <mergeCell ref="A27:H27"/>
    <mergeCell ref="B19:D19"/>
    <mergeCell ref="A2:B2"/>
    <mergeCell ref="H3:I3"/>
    <mergeCell ref="B6:I6"/>
    <mergeCell ref="B8:D8"/>
    <mergeCell ref="B9:D9"/>
    <mergeCell ref="G8:H8"/>
    <mergeCell ref="G9:H9"/>
    <mergeCell ref="B10:D10"/>
    <mergeCell ref="B11:D11"/>
    <mergeCell ref="B33:D33"/>
    <mergeCell ref="B34:D34"/>
    <mergeCell ref="G10:H10"/>
    <mergeCell ref="G11:H11"/>
    <mergeCell ref="G13:H13"/>
    <mergeCell ref="G14:H14"/>
    <mergeCell ref="B13:E13"/>
    <mergeCell ref="B14:E14"/>
    <mergeCell ref="B29:D29"/>
    <mergeCell ref="B20:D20"/>
    <mergeCell ref="B30:D30"/>
    <mergeCell ref="B31:D31"/>
    <mergeCell ref="B32:D32"/>
    <mergeCell ref="B12:D12"/>
    <mergeCell ref="B16:D16"/>
    <mergeCell ref="B18:D18"/>
    <mergeCell ref="G12:H12"/>
    <mergeCell ref="B15:D15"/>
    <mergeCell ref="B17:D17"/>
    <mergeCell ref="B57:D57"/>
    <mergeCell ref="B60:D60"/>
    <mergeCell ref="G60:H60"/>
    <mergeCell ref="B51:D51"/>
    <mergeCell ref="B54:D54"/>
    <mergeCell ref="C52:C53"/>
    <mergeCell ref="D52:D53"/>
    <mergeCell ref="E52:E53"/>
    <mergeCell ref="F52:F53"/>
    <mergeCell ref="G52:G53"/>
    <mergeCell ref="H52:H53"/>
    <mergeCell ref="B55:D55"/>
    <mergeCell ref="B56:D56"/>
    <mergeCell ref="G49:H49"/>
    <mergeCell ref="G50:H50"/>
    <mergeCell ref="B21:D21"/>
    <mergeCell ref="B22:D22"/>
    <mergeCell ref="B23:D23"/>
    <mergeCell ref="B24:D24"/>
    <mergeCell ref="B25:D25"/>
    <mergeCell ref="B40:D40"/>
    <mergeCell ref="B41:D41"/>
    <mergeCell ref="B36:D36"/>
    <mergeCell ref="B37:D37"/>
    <mergeCell ref="B38:D38"/>
    <mergeCell ref="B39:D39"/>
    <mergeCell ref="B35:D35"/>
    <mergeCell ref="B26:D26"/>
    <mergeCell ref="B28:D28"/>
    <mergeCell ref="G65:H65"/>
    <mergeCell ref="G59:H59"/>
    <mergeCell ref="G73:H73"/>
    <mergeCell ref="G74:H74"/>
    <mergeCell ref="G64:H64"/>
  </mergeCells>
  <conditionalFormatting sqref="H43:H44 I39:I46">
    <cfRule type="containsText" dxfId="9" priority="20" operator="containsText" text="Select">
      <formula>NOT(ISERROR(SEARCH("Select",H39)))</formula>
    </cfRule>
    <cfRule type="containsText" dxfId="8" priority="22" operator="containsText" text="ENTER">
      <formula>NOT(ISERROR(SEARCH("ENTER",H39)))</formula>
    </cfRule>
  </conditionalFormatting>
  <conditionalFormatting sqref="I55:I58">
    <cfRule type="containsText" dxfId="7" priority="21" operator="containsText" text="ENTER">
      <formula>NOT(ISERROR(SEARCH("ENTER",I55)))</formula>
    </cfRule>
  </conditionalFormatting>
  <conditionalFormatting sqref="H43:H44 I40:I46">
    <cfRule type="containsText" dxfId="6" priority="19" operator="containsText" text="Grommets">
      <formula>NOT(ISERROR(SEARCH("Grommets",H40)))</formula>
    </cfRule>
  </conditionalFormatting>
  <conditionalFormatting sqref="I43">
    <cfRule type="containsText" dxfId="5" priority="17" operator="containsText" text="Select">
      <formula>NOT(ISERROR(SEARCH("Select",I43)))</formula>
    </cfRule>
    <cfRule type="containsText" dxfId="4" priority="18" operator="containsText" text="ENTER">
      <formula>NOT(ISERROR(SEARCH("ENTER",I43)))</formula>
    </cfRule>
  </conditionalFormatting>
  <conditionalFormatting sqref="I43">
    <cfRule type="containsText" dxfId="3" priority="16" operator="containsText" text="Grommets">
      <formula>NOT(ISERROR(SEARCH("Grommets",I43)))</formula>
    </cfRule>
  </conditionalFormatting>
  <conditionalFormatting sqref="I47">
    <cfRule type="containsText" dxfId="2" priority="2" operator="containsText" text="Select">
      <formula>NOT(ISERROR(SEARCH("Select",I47)))</formula>
    </cfRule>
    <cfRule type="containsText" dxfId="1" priority="3" operator="containsText" text="ENTER">
      <formula>NOT(ISERROR(SEARCH("ENTER",I47)))</formula>
    </cfRule>
  </conditionalFormatting>
  <conditionalFormatting sqref="I47">
    <cfRule type="containsText" dxfId="0" priority="1" operator="containsText" text="Grommets">
      <formula>NOT(ISERROR(SEARCH("Grommets",I47)))</formula>
    </cfRule>
  </conditionalFormatting>
  <dataValidations xWindow="446" yWindow="696" count="12">
    <dataValidation type="whole" allowBlank="1" showInputMessage="1" showErrorMessage="1" sqref="E8 E10" xr:uid="{28F5F5C4-7F28-4973-8B89-9DDE0A16E9E0}">
      <formula1>0</formula1>
      <formula2>60</formula2>
    </dataValidation>
    <dataValidation type="whole" allowBlank="1" showInputMessage="1" showErrorMessage="1" sqref="E9" xr:uid="{A579E540-61D5-49CD-98B9-79D15B1669BA}">
      <formula1>0</formula1>
      <formula2>120</formula2>
    </dataValidation>
    <dataValidation allowBlank="1" showInputMessage="1" showErrorMessage="1" promptTitle="Input QTY" prompt="Input QTY" sqref="D42:D47" xr:uid="{D2C5757B-E287-477A-B5C8-07C4DF4D953D}"/>
    <dataValidation type="list" allowBlank="1" showInputMessage="1" showErrorMessage="1" errorTitle="Stop" error="Select Size" promptTitle="Select Size" sqref="G89" xr:uid="{CC44FF1E-3C55-46D2-9EE0-83EB6B8DC84B}">
      <formula1>$E$93:$E$97</formula1>
    </dataValidation>
    <dataValidation type="list" allowBlank="1" showInputMessage="1" showErrorMessage="1" errorTitle="Stop!" error="Must Select Size" promptTitle="Standoff Size" prompt="Select Size" sqref="E92:E97" xr:uid="{39A9DA5E-DCF6-4E4B-A633-82CDB08B42F0}">
      <formula1>$E$92:$E$97</formula1>
    </dataValidation>
    <dataValidation type="list" allowBlank="1" showInputMessage="1" showErrorMessage="1" errorTitle="Check for Self Assess PST" error="Check for Self Assess PST" promptTitle="Check for Self Assess PST" sqref="I58" xr:uid="{C4F2374D-1DDB-4187-890F-7F404429CBA1}">
      <formula1>$E$110:$E$112</formula1>
    </dataValidation>
    <dataValidation type="list" allowBlank="1" showInputMessage="1" showErrorMessage="1" sqref="C43" xr:uid="{A425E49A-5463-45E6-B6A6-E37BEEC430FD}">
      <formula1>$H$87:$H$91</formula1>
    </dataValidation>
    <dataValidation type="list" allowBlank="1" showInputMessage="1" showErrorMessage="1" sqref="C45" xr:uid="{E61106C5-B53B-4542-83F9-70014521398A}">
      <formula1>$E$85:$E$88</formula1>
    </dataValidation>
    <dataValidation type="list" allowBlank="1" showInputMessage="1" showErrorMessage="1" sqref="C42" xr:uid="{AE9B857E-42AA-41C9-8C33-0C44533159AD}">
      <formula1>$E$93:$E$97</formula1>
    </dataValidation>
    <dataValidation type="list" allowBlank="1" showInputMessage="1" showErrorMessage="1" sqref="C44" xr:uid="{C47E8823-F525-4F77-9A7D-BFE9E230001D}">
      <formula1>$H$96:$H$101</formula1>
    </dataValidation>
    <dataValidation type="list" allowBlank="1" showInputMessage="1" showErrorMessage="1" sqref="C46:C47" xr:uid="{03C42EAE-E95C-4ABA-96DE-94F80C4CB725}">
      <formula1>$H$110:$H$113</formula1>
    </dataValidation>
    <dataValidation type="list" allowBlank="1" showInputMessage="1" showErrorMessage="1" sqref="B16:D16" xr:uid="{5D6DE5F9-7A38-4A08-BEEE-CC2A0872BAC0}">
      <formula1>$B$69:$B$79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0" r:id="rId4" name="Check Box 26">
              <controlPr defaultSize="0" autoFill="0" autoLine="0" autoPict="0">
                <anchor moveWithCells="1">
                  <from>
                    <xdr:col>0</xdr:col>
                    <xdr:colOff>152400</xdr:colOff>
                    <xdr:row>30</xdr:row>
                    <xdr:rowOff>200025</xdr:rowOff>
                  </from>
                  <to>
                    <xdr:col>1</xdr:col>
                    <xdr:colOff>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5" name="Check Box 27">
              <controlPr defaultSize="0" autoFill="0" autoLine="0" autoPict="0">
                <anchor moveWithCells="1">
                  <from>
                    <xdr:col>0</xdr:col>
                    <xdr:colOff>152400</xdr:colOff>
                    <xdr:row>31</xdr:row>
                    <xdr:rowOff>219075</xdr:rowOff>
                  </from>
                  <to>
                    <xdr:col>0</xdr:col>
                    <xdr:colOff>314325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6" name="Check Box 28">
              <controlPr defaultSize="0" autoFill="0" autoLine="0" autoPict="0">
                <anchor moveWithCells="1">
                  <from>
                    <xdr:col>0</xdr:col>
                    <xdr:colOff>152400</xdr:colOff>
                    <xdr:row>33</xdr:row>
                    <xdr:rowOff>200025</xdr:rowOff>
                  </from>
                  <to>
                    <xdr:col>0</xdr:col>
                    <xdr:colOff>352425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7" name="Check Box 29">
              <controlPr defaultSize="0" autoFill="0" autoLine="0" autoPict="0">
                <anchor moveWithCells="1">
                  <from>
                    <xdr:col>0</xdr:col>
                    <xdr:colOff>152400</xdr:colOff>
                    <xdr:row>32</xdr:row>
                    <xdr:rowOff>209550</xdr:rowOff>
                  </from>
                  <to>
                    <xdr:col>0</xdr:col>
                    <xdr:colOff>342900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8" name="Check Box 30">
              <controlPr defaultSize="0" autoFill="0" autoLine="0" autoPict="0">
                <anchor moveWithCells="1">
                  <from>
                    <xdr:col>0</xdr:col>
                    <xdr:colOff>152400</xdr:colOff>
                    <xdr:row>34</xdr:row>
                    <xdr:rowOff>209550</xdr:rowOff>
                  </from>
                  <to>
                    <xdr:col>0</xdr:col>
                    <xdr:colOff>342900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9" name="Check Box 31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35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10" name="Check Box 32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29</xdr:row>
                    <xdr:rowOff>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11" name="Check Box 33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27</xdr:row>
                    <xdr:rowOff>209550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12" name="Check Box 34">
              <controlPr defaultSize="0" autoFill="0" autoLine="0" autoPict="0" altText="">
                <anchor moveWithCells="1">
                  <from>
                    <xdr:col>0</xdr:col>
                    <xdr:colOff>152400</xdr:colOff>
                    <xdr:row>29</xdr:row>
                    <xdr:rowOff>180975</xdr:rowOff>
                  </from>
                  <to>
                    <xdr:col>0</xdr:col>
                    <xdr:colOff>333375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13" name="Check Box 36">
              <controlPr defaultSize="0" autoFill="0" autoLine="0" autoPict="0">
                <anchor moveWithCells="1">
                  <from>
                    <xdr:col>0</xdr:col>
                    <xdr:colOff>152400</xdr:colOff>
                    <xdr:row>36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6" r:id="rId14" name="Check Box 42">
              <controlPr defaultSize="0" autoFill="0" autoLine="0" autoPict="0">
                <anchor moveWithCells="1">
                  <from>
                    <xdr:col>2</xdr:col>
                    <xdr:colOff>1104900</xdr:colOff>
                    <xdr:row>51</xdr:row>
                    <xdr:rowOff>38100</xdr:rowOff>
                  </from>
                  <to>
                    <xdr:col>3</xdr:col>
                    <xdr:colOff>57150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5" r:id="rId15" name="Option Button 1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16" name="Option Button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17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18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19" name="Option Button 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20" name="Option Button 6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21" name="Option Button 7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22" name="Option Button 8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23" name="Option Button 9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24" name="Option Button 10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25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219075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26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27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200025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28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29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7">
    <tablePart r:id="rId30"/>
    <tablePart r:id="rId31"/>
    <tablePart r:id="rId32"/>
    <tablePart r:id="rId33"/>
    <tablePart r:id="rId34"/>
    <tablePart r:id="rId35"/>
    <tablePart r:id="rId3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SIGN</vt:lpstr>
      <vt:lpstr>SIGN!Print_Area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2019</dc:creator>
  <cp:lastModifiedBy>Dan Donnelly</cp:lastModifiedBy>
  <cp:lastPrinted>2023-07-14T15:44:03Z</cp:lastPrinted>
  <dcterms:created xsi:type="dcterms:W3CDTF">2020-11-28T05:16:51Z</dcterms:created>
  <dcterms:modified xsi:type="dcterms:W3CDTF">2023-11-17T21:09:49Z</dcterms:modified>
</cp:coreProperties>
</file>