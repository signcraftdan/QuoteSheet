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5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6.xml" ContentType="application/vnd.openxmlformats-officedocument.drawing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n\Downloads\"/>
    </mc:Choice>
  </mc:AlternateContent>
  <xr:revisionPtr revIDLastSave="0" documentId="8_{B25F4911-8E1A-4D25-9E8C-48C7FD5E3CE2}" xr6:coauthVersionLast="47" xr6:coauthVersionMax="47" xr10:uidLastSave="{00000000-0000-0000-0000-000000000000}"/>
  <bookViews>
    <workbookView xWindow="-120" yWindow="-120" windowWidth="29040" windowHeight="15840" tabRatio="943" firstSheet="3" activeTab="3" xr2:uid="{00000000-000D-0000-FFFF-FFFF00000000}"/>
  </bookViews>
  <sheets>
    <sheet name="TEST - Merge" sheetId="170" state="hidden" r:id="rId1"/>
    <sheet name="3MM ACM (2)" sheetId="298" state="hidden" r:id="rId2"/>
    <sheet name="VINYL COSTS" sheetId="304" state="hidden" r:id="rId3"/>
    <sheet name="QUOTE START" sheetId="69" r:id="rId4"/>
    <sheet name="LettersPriceTable" sheetId="184" state="hidden" r:id="rId5"/>
    <sheet name="Input Table" sheetId="1" state="hidden" r:id="rId6"/>
    <sheet name="VEHICLE" sheetId="93" state="hidden" r:id="rId7"/>
    <sheet name="SIGN" sheetId="94" state="hidden" r:id="rId8"/>
    <sheet name="LETTERS" sheetId="180" state="hidden" r:id="rId9"/>
    <sheet name="danworking" sheetId="179" state="hidden" r:id="rId10"/>
    <sheet name="ALU .125" sheetId="177" state="hidden" r:id="rId11"/>
    <sheet name="ALU .25" sheetId="176" state="hidden" r:id="rId12"/>
    <sheet name="6MM ACM" sheetId="174" state="hidden" r:id="rId13"/>
    <sheet name="FINAL QUOTE" sheetId="160" r:id="rId14"/>
    <sheet name="SUBSTRATE MASTER" sheetId="305" state="hidden" r:id="rId15"/>
    <sheet name="DECALS" sheetId="157" state="hidden" r:id="rId16"/>
    <sheet name="3MM FORMED" sheetId="132" state="hidden" r:id="rId17"/>
    <sheet name="ACRYLIC A" sheetId="127" state="hidden" r:id="rId18"/>
    <sheet name="ACRYLIC B" sheetId="133" state="hidden" r:id="rId19"/>
    <sheet name="ACRYLIC LETTERS" sheetId="128" state="hidden" r:id="rId20"/>
    <sheet name="3MM ACM" sheetId="136" state="hidden" r:id="rId21"/>
    <sheet name="LED" sheetId="131" state="hidden" r:id="rId22"/>
    <sheet name="ILLUMINATED" sheetId="135" state="hidden" r:id="rId23"/>
    <sheet name="NUTS BOLTS" sheetId="137" state="hidden" r:id="rId24"/>
    <sheet name="CHANNEL LETTERS" sheetId="129" state="hidden" r:id="rId25"/>
    <sheet name="dsa" sheetId="312" state="hidden" r:id="rId26"/>
  </sheets>
  <functionGroups builtInGroupCount="19"/>
  <definedNames>
    <definedName name="DataList">#REF!</definedName>
    <definedName name="Estimator">#N/A</definedName>
    <definedName name="_xlnm.Print_Area" localSheetId="20">'3MM ACM'!$A$1:$G$63</definedName>
    <definedName name="_xlnm.Print_Area" localSheetId="1">'3MM ACM (2)'!$A$1:$G$63</definedName>
    <definedName name="_xlnm.Print_Area" localSheetId="16">'3MM FORMED'!$A$1:$G$59</definedName>
    <definedName name="_xlnm.Print_Area" localSheetId="12">'6MM ACM'!$A$1:$G$63</definedName>
    <definedName name="_xlnm.Print_Area" localSheetId="17">'ACRYLIC A'!$A$1:$G$59</definedName>
    <definedName name="_xlnm.Print_Area" localSheetId="18">'ACRYLIC B'!$A$1:$G$59</definedName>
    <definedName name="_xlnm.Print_Area" localSheetId="19">'ACRYLIC LETTERS'!$A$1:$G$63</definedName>
    <definedName name="_xlnm.Print_Area" localSheetId="10">'ALU .125'!$A$1:$G$63</definedName>
    <definedName name="_xlnm.Print_Area" localSheetId="11">'ALU .25'!$A$1:$G$63</definedName>
    <definedName name="_xlnm.Print_Area" localSheetId="24">'CHANNEL LETTERS'!$A$1:$G$58</definedName>
    <definedName name="_xlnm.Print_Area" localSheetId="15">DECALS!$B:$K</definedName>
    <definedName name="_xlnm.Print_Area" localSheetId="22">ILLUMINATED!$A$1:$G$58</definedName>
    <definedName name="_xlnm.Print_Area" localSheetId="21">LED!$A$1:$G$57</definedName>
    <definedName name="_xlnm.Print_Area" localSheetId="23">'NUTS BOLTS'!$A$1:$G$69</definedName>
    <definedName name="_xlnm.Print_Area" localSheetId="7">SIGN!$A$1:$P$98</definedName>
    <definedName name="Vehicle">#REF!,#REF!,#REF!,#REF!,#REF!,#REF!</definedName>
    <definedName name="Vinyl_Substrate">DECALS!$I$2:$J$13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40" i="180" l="1" a="1"/>
  <c r="E40" i="180" s="1"/>
  <c r="E16" i="94"/>
  <c r="D9" i="305"/>
  <c r="F9" i="305" s="1"/>
  <c r="D8" i="305"/>
  <c r="F8" i="305" s="1"/>
  <c r="D7" i="305"/>
  <c r="D6" i="305"/>
  <c r="F6" i="305" s="1"/>
  <c r="D5" i="305"/>
  <c r="F5" i="305" s="1"/>
  <c r="D4" i="305"/>
  <c r="D3" i="305"/>
  <c r="D2" i="305"/>
  <c r="F2" i="305" s="1"/>
  <c r="F4" i="305"/>
  <c r="F3" i="305"/>
  <c r="F7" i="305"/>
  <c r="F60" i="298" l="1"/>
  <c r="G52" i="298"/>
  <c r="G50" i="298"/>
  <c r="G48" i="298"/>
  <c r="G44" i="298"/>
  <c r="G43" i="298"/>
  <c r="G41" i="298"/>
  <c r="F41" i="298"/>
  <c r="G40" i="298"/>
  <c r="F40" i="298"/>
  <c r="G39" i="298"/>
  <c r="F39" i="298"/>
  <c r="G47" i="298" s="1"/>
  <c r="G37" i="298"/>
  <c r="G36" i="298"/>
  <c r="G35" i="298"/>
  <c r="G34" i="298"/>
  <c r="G33" i="298"/>
  <c r="G32" i="298"/>
  <c r="G31" i="298"/>
  <c r="G30" i="298"/>
  <c r="G29" i="298"/>
  <c r="G28" i="298"/>
  <c r="G27" i="298"/>
  <c r="G26" i="298"/>
  <c r="G25" i="298"/>
  <c r="G24" i="298"/>
  <c r="G23" i="298"/>
  <c r="G22" i="298"/>
  <c r="G21" i="298"/>
  <c r="G20" i="298"/>
  <c r="G19" i="298"/>
  <c r="G45" i="298" s="1"/>
  <c r="E7" i="298"/>
  <c r="E5" i="298"/>
  <c r="E2" i="157"/>
  <c r="G5" i="180"/>
  <c r="I3" i="93"/>
  <c r="H3" i="94"/>
  <c r="I9" i="93"/>
  <c r="L60" i="93"/>
  <c r="I10" i="93"/>
  <c r="G17" i="93"/>
  <c r="G58" i="93"/>
  <c r="G57" i="93"/>
  <c r="G56" i="93"/>
  <c r="G55" i="93"/>
  <c r="G54" i="93"/>
  <c r="G53" i="93"/>
  <c r="G52" i="93"/>
  <c r="G51" i="93"/>
  <c r="G50" i="93"/>
  <c r="G49" i="93"/>
  <c r="G48" i="93"/>
  <c r="G47" i="93"/>
  <c r="G46" i="93"/>
  <c r="G45" i="93"/>
  <c r="G44" i="93"/>
  <c r="G43" i="93"/>
  <c r="G42" i="93"/>
  <c r="G41" i="93"/>
  <c r="G40" i="93"/>
  <c r="G39" i="93"/>
  <c r="G38" i="93"/>
  <c r="G37" i="93"/>
  <c r="G36" i="93"/>
  <c r="I33" i="93"/>
  <c r="G33" i="93"/>
  <c r="I32" i="93"/>
  <c r="G32" i="93"/>
  <c r="I31" i="93"/>
  <c r="G31" i="93"/>
  <c r="I30" i="93"/>
  <c r="G30" i="93"/>
  <c r="I29" i="93"/>
  <c r="G29" i="93"/>
  <c r="I28" i="93"/>
  <c r="G28" i="93"/>
  <c r="I27" i="93"/>
  <c r="G27" i="93"/>
  <c r="I26" i="93"/>
  <c r="G26" i="93"/>
  <c r="I25" i="93"/>
  <c r="G25" i="93"/>
  <c r="I24" i="93"/>
  <c r="G24" i="93"/>
  <c r="I23" i="93"/>
  <c r="G23" i="93"/>
  <c r="I22" i="93"/>
  <c r="G22" i="93"/>
  <c r="I21" i="93"/>
  <c r="G21" i="93"/>
  <c r="I20" i="93"/>
  <c r="G20" i="93"/>
  <c r="G54" i="298" l="1"/>
  <c r="XFD47" i="298"/>
  <c r="I8" i="93"/>
  <c r="G55" i="180"/>
  <c r="E73" i="180"/>
  <c r="G73" i="180" s="1"/>
  <c r="E72" i="180"/>
  <c r="G72" i="180" s="1"/>
  <c r="E69" i="180"/>
  <c r="G69" i="180" s="1"/>
  <c r="F55" i="180"/>
  <c r="E63" i="180"/>
  <c r="G63" i="180" s="1"/>
  <c r="E62" i="180"/>
  <c r="G62" i="180" s="1"/>
  <c r="E61" i="180"/>
  <c r="G61" i="180" s="1"/>
  <c r="E60" i="180"/>
  <c r="F60" i="180" s="1"/>
  <c r="E59" i="180"/>
  <c r="G59" i="180" s="1"/>
  <c r="E45" i="180" a="1"/>
  <c r="E45" i="180" s="1"/>
  <c r="G44" i="180"/>
  <c r="G37" i="180"/>
  <c r="G36" i="180"/>
  <c r="G35" i="180"/>
  <c r="G34" i="180"/>
  <c r="G33" i="180"/>
  <c r="G32" i="180"/>
  <c r="G31" i="180"/>
  <c r="G30" i="180"/>
  <c r="G29" i="180"/>
  <c r="G28" i="180"/>
  <c r="G27" i="180"/>
  <c r="G26" i="180"/>
  <c r="G25" i="180"/>
  <c r="G24" i="180"/>
  <c r="G23" i="180"/>
  <c r="G22" i="180"/>
  <c r="G21" i="180"/>
  <c r="G20" i="180"/>
  <c r="G19" i="180"/>
  <c r="G18" i="180"/>
  <c r="G17" i="180"/>
  <c r="G16" i="180"/>
  <c r="E38" i="180" a="1"/>
  <c r="E38" i="180" s="1"/>
  <c r="G38" i="180" s="1"/>
  <c r="E37" i="180" a="1"/>
  <c r="E37" i="180" s="1"/>
  <c r="E36" i="180" a="1"/>
  <c r="E36" i="180" s="1"/>
  <c r="E35" i="180" a="1"/>
  <c r="E35" i="180" s="1"/>
  <c r="E34" i="180" a="1"/>
  <c r="E34" i="180" s="1"/>
  <c r="E33" i="180" a="1"/>
  <c r="E33" i="180" s="1"/>
  <c r="E32" i="180" a="1"/>
  <c r="E32" i="180" s="1"/>
  <c r="E31" i="180" a="1"/>
  <c r="E31" i="180" s="1"/>
  <c r="E30" i="180" a="1"/>
  <c r="E30" i="180" s="1"/>
  <c r="E29" i="180" a="1"/>
  <c r="E29" i="180" s="1"/>
  <c r="E28" i="180" a="1"/>
  <c r="E28" i="180" s="1"/>
  <c r="E27" i="180" a="1"/>
  <c r="E27" i="180" s="1"/>
  <c r="E26" i="180" a="1"/>
  <c r="E26" i="180" s="1"/>
  <c r="E24" i="180" a="1"/>
  <c r="E24" i="180" s="1"/>
  <c r="E23" i="180" a="1"/>
  <c r="E23" i="180" s="1"/>
  <c r="E22" i="180" a="1"/>
  <c r="E22" i="180" s="1"/>
  <c r="E21" i="180" a="1"/>
  <c r="E21" i="180" s="1"/>
  <c r="E20" i="180" a="1"/>
  <c r="E20" i="180" s="1"/>
  <c r="E19" i="180" a="1"/>
  <c r="E19" i="180" s="1"/>
  <c r="E18" i="180" a="1"/>
  <c r="E18" i="180" s="1"/>
  <c r="E17" i="180" a="1"/>
  <c r="E17" i="180" s="1"/>
  <c r="E16" i="180" a="1"/>
  <c r="E16" i="180" s="1"/>
  <c r="G33" i="177"/>
  <c r="E51" i="180"/>
  <c r="G51" i="180" s="1"/>
  <c r="E50" i="180"/>
  <c r="G50" i="180" s="1"/>
  <c r="E49" i="180"/>
  <c r="G49" i="180" s="1"/>
  <c r="E48" i="180"/>
  <c r="G48" i="180" s="1"/>
  <c r="E46" i="180" a="1"/>
  <c r="E46" i="180" s="1"/>
  <c r="G46" i="180" s="1"/>
  <c r="E44" i="180" a="1"/>
  <c r="E44" i="180" s="1"/>
  <c r="G45" i="180" s="1"/>
  <c r="E43" i="180" a="1"/>
  <c r="E43" i="180" s="1"/>
  <c r="G43" i="180" s="1"/>
  <c r="E42" i="180" a="1"/>
  <c r="E42" i="180" s="1"/>
  <c r="G42" i="180" s="1"/>
  <c r="E41" i="180" a="1"/>
  <c r="E41" i="180" s="1"/>
  <c r="G41" i="180" s="1"/>
  <c r="G40" i="180"/>
  <c r="E15" i="180" a="1"/>
  <c r="E15" i="180" s="1"/>
  <c r="G15" i="180" s="1"/>
  <c r="B60" i="179"/>
  <c r="B61" i="179" s="1"/>
  <c r="B62" i="179" s="1"/>
  <c r="B63" i="179" s="1"/>
  <c r="B64" i="179" s="1"/>
  <c r="B65" i="179" s="1"/>
  <c r="B66" i="179" s="1"/>
  <c r="B67" i="179" s="1"/>
  <c r="B68" i="179" s="1"/>
  <c r="B69" i="179" s="1"/>
  <c r="B70" i="179" s="1"/>
  <c r="B71" i="179" s="1"/>
  <c r="B72" i="179" s="1"/>
  <c r="B73" i="179" s="1"/>
  <c r="B74" i="179" s="1"/>
  <c r="B59" i="179"/>
  <c r="B58" i="179"/>
  <c r="B57" i="179"/>
  <c r="F60" i="177"/>
  <c r="G52" i="177"/>
  <c r="G50" i="177"/>
  <c r="G44" i="177"/>
  <c r="G43" i="177"/>
  <c r="F43" i="177"/>
  <c r="G41" i="177"/>
  <c r="F41" i="177"/>
  <c r="G40" i="177"/>
  <c r="F40" i="177"/>
  <c r="G38" i="177"/>
  <c r="G37" i="177"/>
  <c r="G36" i="177"/>
  <c r="G35" i="177"/>
  <c r="G34" i="177"/>
  <c r="G32" i="177"/>
  <c r="G31" i="177"/>
  <c r="G30" i="177"/>
  <c r="G29" i="177"/>
  <c r="G28" i="177"/>
  <c r="G27" i="177"/>
  <c r="G26" i="177"/>
  <c r="G25" i="177"/>
  <c r="G24" i="177"/>
  <c r="G23" i="177"/>
  <c r="G22" i="177"/>
  <c r="G21" i="177"/>
  <c r="G20" i="177"/>
  <c r="G19" i="177"/>
  <c r="E7" i="177"/>
  <c r="E5" i="177"/>
  <c r="F60" i="176"/>
  <c r="G52" i="176"/>
  <c r="G50" i="176"/>
  <c r="G44" i="176"/>
  <c r="G43" i="176"/>
  <c r="F43" i="176"/>
  <c r="G41" i="176"/>
  <c r="F41" i="176"/>
  <c r="G40" i="176"/>
  <c r="F40" i="176"/>
  <c r="F47" i="176" s="1"/>
  <c r="G38" i="176"/>
  <c r="G37" i="176"/>
  <c r="G36" i="176"/>
  <c r="G35" i="176"/>
  <c r="G34" i="176"/>
  <c r="G33" i="176"/>
  <c r="G32" i="176"/>
  <c r="G31" i="176"/>
  <c r="G30" i="176"/>
  <c r="G29" i="176"/>
  <c r="G28" i="176"/>
  <c r="G27" i="176"/>
  <c r="G26" i="176"/>
  <c r="G25" i="176"/>
  <c r="G24" i="176"/>
  <c r="G23" i="176"/>
  <c r="G22" i="176"/>
  <c r="G21" i="176"/>
  <c r="G20" i="176"/>
  <c r="G19" i="176"/>
  <c r="E7" i="176"/>
  <c r="E5" i="176"/>
  <c r="F60" i="174"/>
  <c r="G52" i="174"/>
  <c r="G50" i="174"/>
  <c r="G48" i="174"/>
  <c r="G44" i="174"/>
  <c r="F44" i="174"/>
  <c r="F43" i="174"/>
  <c r="G42" i="174"/>
  <c r="G41" i="174"/>
  <c r="F41" i="174"/>
  <c r="G40" i="174"/>
  <c r="F40" i="174"/>
  <c r="G39" i="174"/>
  <c r="F39" i="174"/>
  <c r="G47" i="174" s="1"/>
  <c r="G37" i="174"/>
  <c r="G36" i="174"/>
  <c r="G35" i="174"/>
  <c r="G34" i="174"/>
  <c r="G33" i="174"/>
  <c r="G32" i="174"/>
  <c r="G31" i="174"/>
  <c r="G30" i="174"/>
  <c r="G29" i="174"/>
  <c r="G28" i="174"/>
  <c r="G27" i="174"/>
  <c r="G26" i="174"/>
  <c r="G25" i="174"/>
  <c r="G24" i="174"/>
  <c r="G23" i="174"/>
  <c r="G22" i="174"/>
  <c r="G21" i="174"/>
  <c r="G20" i="174"/>
  <c r="G19" i="174"/>
  <c r="E7" i="174"/>
  <c r="E5" i="174"/>
  <c r="E6" i="170"/>
  <c r="M6" i="170"/>
  <c r="U6" i="170"/>
  <c r="AC6" i="170"/>
  <c r="AK6" i="170"/>
  <c r="E8" i="170"/>
  <c r="M8" i="170"/>
  <c r="U8" i="170"/>
  <c r="AC8" i="170"/>
  <c r="AK8" i="170"/>
  <c r="G20" i="170"/>
  <c r="O20" i="170"/>
  <c r="W20" i="170"/>
  <c r="AE20" i="170"/>
  <c r="AM20" i="170"/>
  <c r="AM46" i="170" s="1"/>
  <c r="G21" i="170"/>
  <c r="G46" i="170" s="1"/>
  <c r="O21" i="170"/>
  <c r="W21" i="170"/>
  <c r="AE21" i="170"/>
  <c r="AM21" i="170"/>
  <c r="G22" i="170"/>
  <c r="O22" i="170"/>
  <c r="W22" i="170"/>
  <c r="AE22" i="170"/>
  <c r="AE46" i="170" s="1"/>
  <c r="AM22" i="170"/>
  <c r="G23" i="170"/>
  <c r="O23" i="170"/>
  <c r="W23" i="170"/>
  <c r="AE23" i="170"/>
  <c r="AM23" i="170"/>
  <c r="G24" i="170"/>
  <c r="O24" i="170"/>
  <c r="O46" i="170" s="1"/>
  <c r="O55" i="170" s="1"/>
  <c r="W24" i="170"/>
  <c r="AE24" i="170"/>
  <c r="AM24" i="170"/>
  <c r="G25" i="170"/>
  <c r="O25" i="170"/>
  <c r="W25" i="170"/>
  <c r="AE25" i="170"/>
  <c r="AM25" i="170"/>
  <c r="G26" i="170"/>
  <c r="O26" i="170"/>
  <c r="W26" i="170"/>
  <c r="AE26" i="170"/>
  <c r="AM26" i="170"/>
  <c r="G27" i="170"/>
  <c r="O27" i="170"/>
  <c r="W27" i="170"/>
  <c r="AE27" i="170"/>
  <c r="AM27" i="170"/>
  <c r="G28" i="170"/>
  <c r="O28" i="170"/>
  <c r="W28" i="170"/>
  <c r="AE28" i="170"/>
  <c r="AM28" i="170"/>
  <c r="G29" i="170"/>
  <c r="O29" i="170"/>
  <c r="W29" i="170"/>
  <c r="AE29" i="170"/>
  <c r="AM29" i="170"/>
  <c r="G30" i="170"/>
  <c r="O30" i="170"/>
  <c r="W30" i="170"/>
  <c r="AE30" i="170"/>
  <c r="AM30" i="170"/>
  <c r="G31" i="170"/>
  <c r="O31" i="170"/>
  <c r="W31" i="170"/>
  <c r="AE31" i="170"/>
  <c r="AM31" i="170"/>
  <c r="G32" i="170"/>
  <c r="O32" i="170"/>
  <c r="W32" i="170"/>
  <c r="AE32" i="170"/>
  <c r="AM32" i="170"/>
  <c r="G33" i="170"/>
  <c r="O33" i="170"/>
  <c r="W33" i="170"/>
  <c r="AE33" i="170"/>
  <c r="AM33" i="170"/>
  <c r="G34" i="170"/>
  <c r="O34" i="170"/>
  <c r="W34" i="170"/>
  <c r="AE34" i="170"/>
  <c r="AM34" i="170"/>
  <c r="G35" i="170"/>
  <c r="O35" i="170"/>
  <c r="W35" i="170"/>
  <c r="AE35" i="170"/>
  <c r="AM35" i="170"/>
  <c r="G36" i="170"/>
  <c r="O36" i="170"/>
  <c r="W36" i="170"/>
  <c r="AE36" i="170"/>
  <c r="AM36" i="170"/>
  <c r="G37" i="170"/>
  <c r="O37" i="170"/>
  <c r="W37" i="170"/>
  <c r="AE37" i="170"/>
  <c r="AM37" i="170"/>
  <c r="G38" i="170"/>
  <c r="O38" i="170"/>
  <c r="W38" i="170"/>
  <c r="AE38" i="170"/>
  <c r="AM38" i="170"/>
  <c r="G39" i="170"/>
  <c r="O39" i="170"/>
  <c r="V40" i="170"/>
  <c r="W40" i="170"/>
  <c r="AD40" i="170"/>
  <c r="AE40" i="170"/>
  <c r="AL40" i="170"/>
  <c r="AM48" i="170" s="1"/>
  <c r="AM55" i="170" s="1"/>
  <c r="AM40" i="170"/>
  <c r="F41" i="170"/>
  <c r="G41" i="170"/>
  <c r="N41" i="170"/>
  <c r="O41" i="170"/>
  <c r="V41" i="170"/>
  <c r="W41" i="170"/>
  <c r="AD41" i="170"/>
  <c r="AE41" i="170"/>
  <c r="AL41" i="170"/>
  <c r="AM41" i="170"/>
  <c r="F42" i="170"/>
  <c r="G42" i="170"/>
  <c r="N42" i="170"/>
  <c r="O42" i="170"/>
  <c r="V42" i="170"/>
  <c r="W48" i="170" s="1"/>
  <c r="W55" i="170" s="1"/>
  <c r="W42" i="170"/>
  <c r="AD42" i="170"/>
  <c r="AE42" i="170"/>
  <c r="AL42" i="170"/>
  <c r="AM42" i="170"/>
  <c r="W43" i="170"/>
  <c r="AM43" i="170"/>
  <c r="F44" i="170"/>
  <c r="F48" i="170" s="1"/>
  <c r="G44" i="170"/>
  <c r="N44" i="170"/>
  <c r="O44" i="170"/>
  <c r="V44" i="170"/>
  <c r="AE44" i="170"/>
  <c r="AL44" i="170"/>
  <c r="G45" i="170"/>
  <c r="O45" i="170"/>
  <c r="V45" i="170"/>
  <c r="W45" i="170"/>
  <c r="AE45" i="170"/>
  <c r="AL45" i="170"/>
  <c r="AM45" i="170"/>
  <c r="W46" i="170"/>
  <c r="N48" i="170"/>
  <c r="O48" i="170"/>
  <c r="AE48" i="170"/>
  <c r="W49" i="170"/>
  <c r="AE49" i="170"/>
  <c r="AM49" i="170"/>
  <c r="G51" i="170"/>
  <c r="O51" i="170"/>
  <c r="W51" i="170"/>
  <c r="AE51" i="170"/>
  <c r="AM51" i="170"/>
  <c r="G53" i="170"/>
  <c r="O53" i="170"/>
  <c r="W53" i="170"/>
  <c r="AE53" i="170"/>
  <c r="AM53" i="170"/>
  <c r="G55" i="298" l="1"/>
  <c r="G56" i="298" s="1"/>
  <c r="F51" i="180"/>
  <c r="F59" i="180"/>
  <c r="F61" i="180"/>
  <c r="F48" i="180"/>
  <c r="F62" i="180"/>
  <c r="F49" i="180"/>
  <c r="F63" i="180"/>
  <c r="F50" i="180"/>
  <c r="G60" i="180"/>
  <c r="G65" i="180" s="1"/>
  <c r="G74" i="180" s="1"/>
  <c r="G76" i="180" s="1"/>
  <c r="G77" i="180" s="1"/>
  <c r="G47" i="177"/>
  <c r="F47" i="177"/>
  <c r="G45" i="177"/>
  <c r="G45" i="174"/>
  <c r="G47" i="176"/>
  <c r="XFD47" i="176" s="1"/>
  <c r="G45" i="176"/>
  <c r="G54" i="176" s="1"/>
  <c r="XFD47" i="174"/>
  <c r="G54" i="174"/>
  <c r="O56" i="170"/>
  <c r="O57" i="170" s="1"/>
  <c r="W56" i="170"/>
  <c r="W57" i="170" s="1"/>
  <c r="AM56" i="170"/>
  <c r="AM57" i="170" s="1"/>
  <c r="AE55" i="170"/>
  <c r="G48" i="170"/>
  <c r="G55" i="170" s="1"/>
  <c r="G57" i="298" l="1"/>
  <c r="G58" i="298" s="1"/>
  <c r="F66" i="180"/>
  <c r="F67" i="180" s="1"/>
  <c r="G78" i="180"/>
  <c r="G79" i="180" s="1"/>
  <c r="XFD47" i="177"/>
  <c r="G54" i="177"/>
  <c r="G55" i="177" s="1"/>
  <c r="G56" i="177" s="1"/>
  <c r="G55" i="176"/>
  <c r="G56" i="176" s="1"/>
  <c r="G55" i="174"/>
  <c r="G56" i="174" s="1"/>
  <c r="G56" i="170"/>
  <c r="G57" i="170" s="1"/>
  <c r="W58" i="170"/>
  <c r="W59" i="170" s="1"/>
  <c r="AM58" i="170"/>
  <c r="AM59" i="170"/>
  <c r="O58" i="170"/>
  <c r="O59" i="170" s="1"/>
  <c r="AE56" i="170"/>
  <c r="AE57" i="170" s="1"/>
  <c r="G57" i="177" l="1"/>
  <c r="G58" i="177" s="1"/>
  <c r="G57" i="176"/>
  <c r="G58" i="176" s="1"/>
  <c r="G57" i="174"/>
  <c r="G58" i="174" s="1"/>
  <c r="AE58" i="170"/>
  <c r="AE59" i="170" s="1"/>
  <c r="G58" i="170"/>
  <c r="G59" i="170" s="1"/>
  <c r="F17" i="157"/>
  <c r="C14" i="157"/>
  <c r="C12" i="157"/>
  <c r="C10" i="157"/>
  <c r="F9" i="157" s="1"/>
  <c r="F10" i="157" s="1"/>
  <c r="F11" i="157" l="1"/>
  <c r="F14" i="157" s="1"/>
  <c r="F16" i="157"/>
  <c r="F13" i="157" l="1"/>
  <c r="F15" i="157" s="1"/>
  <c r="F18" i="157" s="1"/>
  <c r="F19" i="157" s="1"/>
  <c r="H40" i="94" l="1"/>
  <c r="E5" i="137" l="1"/>
  <c r="E7" i="137"/>
  <c r="G19" i="137"/>
  <c r="G40" i="137" s="1"/>
  <c r="G20" i="137"/>
  <c r="G21" i="137"/>
  <c r="G22" i="137"/>
  <c r="G23" i="137"/>
  <c r="G24" i="137"/>
  <c r="G25" i="137"/>
  <c r="G26" i="137"/>
  <c r="G27" i="137"/>
  <c r="G28" i="137"/>
  <c r="G29" i="137"/>
  <c r="G30" i="137"/>
  <c r="G31" i="137"/>
  <c r="G32" i="137"/>
  <c r="G33" i="137"/>
  <c r="G34" i="137"/>
  <c r="G35" i="137"/>
  <c r="G36" i="137"/>
  <c r="G37" i="137"/>
  <c r="G42" i="137"/>
  <c r="G43" i="137"/>
  <c r="G44" i="137"/>
  <c r="G45" i="137"/>
  <c r="G46" i="137"/>
  <c r="G47" i="137"/>
  <c r="G48" i="137"/>
  <c r="G49" i="137"/>
  <c r="G51" i="137"/>
  <c r="G55" i="137"/>
  <c r="F66" i="137"/>
  <c r="E5" i="136"/>
  <c r="E7" i="136"/>
  <c r="G19" i="136"/>
  <c r="G20" i="136"/>
  <c r="G21" i="136"/>
  <c r="G22" i="136"/>
  <c r="G23" i="136"/>
  <c r="G45" i="136" s="1"/>
  <c r="G24" i="136"/>
  <c r="G25" i="136"/>
  <c r="G26" i="136"/>
  <c r="G27" i="136"/>
  <c r="G28" i="136"/>
  <c r="G29" i="136"/>
  <c r="G30" i="136"/>
  <c r="G31" i="136"/>
  <c r="G32" i="136"/>
  <c r="G33" i="136"/>
  <c r="G34" i="136"/>
  <c r="G35" i="136"/>
  <c r="G36" i="136"/>
  <c r="G37" i="136"/>
  <c r="F39" i="136"/>
  <c r="G39" i="136"/>
  <c r="F40" i="136"/>
  <c r="G47" i="136" s="1"/>
  <c r="G40" i="136"/>
  <c r="F41" i="136"/>
  <c r="G41" i="136"/>
  <c r="G43" i="136"/>
  <c r="G44" i="136"/>
  <c r="G48" i="136"/>
  <c r="G50" i="136"/>
  <c r="G52" i="136"/>
  <c r="F60" i="136"/>
  <c r="E5" i="135"/>
  <c r="E7" i="135"/>
  <c r="G19" i="135"/>
  <c r="G21" i="135"/>
  <c r="G22" i="135"/>
  <c r="G24" i="135"/>
  <c r="G34" i="135" s="1"/>
  <c r="G25" i="135"/>
  <c r="G26" i="135"/>
  <c r="G27" i="135"/>
  <c r="G28" i="135"/>
  <c r="G29" i="135"/>
  <c r="G30" i="135"/>
  <c r="G31" i="135"/>
  <c r="G32" i="135"/>
  <c r="G33" i="135"/>
  <c r="G37" i="135"/>
  <c r="G41" i="135" s="1"/>
  <c r="G38" i="135"/>
  <c r="G39" i="135"/>
  <c r="G40" i="135"/>
  <c r="F55" i="135"/>
  <c r="E5" i="133"/>
  <c r="E7" i="133"/>
  <c r="G19" i="133"/>
  <c r="G20" i="133"/>
  <c r="G21" i="133"/>
  <c r="G33" i="133" s="1"/>
  <c r="G22" i="133"/>
  <c r="G23" i="133"/>
  <c r="G24" i="133"/>
  <c r="G25" i="133"/>
  <c r="G26" i="133"/>
  <c r="G27" i="133"/>
  <c r="G28" i="133"/>
  <c r="G29" i="133"/>
  <c r="G30" i="133"/>
  <c r="G36" i="133"/>
  <c r="G42" i="133" s="1"/>
  <c r="G37" i="133"/>
  <c r="G38" i="133"/>
  <c r="G39" i="133"/>
  <c r="G40" i="133"/>
  <c r="G41" i="133"/>
  <c r="F56" i="133"/>
  <c r="E5" i="132"/>
  <c r="E7" i="132"/>
  <c r="G19" i="132"/>
  <c r="G20" i="132"/>
  <c r="G21" i="132"/>
  <c r="G22" i="132"/>
  <c r="G23" i="132"/>
  <c r="G24" i="132"/>
  <c r="G33" i="132" s="1"/>
  <c r="G25" i="132"/>
  <c r="G26" i="132"/>
  <c r="G27" i="132"/>
  <c r="G28" i="132"/>
  <c r="G29" i="132"/>
  <c r="G30" i="132"/>
  <c r="G36" i="132"/>
  <c r="G37" i="132"/>
  <c r="G38" i="132"/>
  <c r="G39" i="132"/>
  <c r="G40" i="132"/>
  <c r="G41" i="132"/>
  <c r="G42" i="132"/>
  <c r="F56" i="132"/>
  <c r="E5" i="131"/>
  <c r="E7" i="131"/>
  <c r="G19" i="131"/>
  <c r="G20" i="131"/>
  <c r="G28" i="131" s="1"/>
  <c r="G21" i="131"/>
  <c r="G30" i="131" s="1"/>
  <c r="G22" i="131"/>
  <c r="G23" i="131"/>
  <c r="G24" i="131"/>
  <c r="G25" i="131"/>
  <c r="G32" i="131"/>
  <c r="G39" i="131" s="1"/>
  <c r="G33" i="131"/>
  <c r="G34" i="131"/>
  <c r="G35" i="131"/>
  <c r="G36" i="131"/>
  <c r="G37" i="131"/>
  <c r="G41" i="131"/>
  <c r="F54" i="131"/>
  <c r="E5" i="129"/>
  <c r="E7" i="129"/>
  <c r="G19" i="129"/>
  <c r="G20" i="129"/>
  <c r="G32" i="129" s="1"/>
  <c r="G21" i="129"/>
  <c r="G22" i="129"/>
  <c r="G23" i="129"/>
  <c r="G24" i="129"/>
  <c r="G25" i="129"/>
  <c r="G26" i="129"/>
  <c r="G27" i="129"/>
  <c r="G28" i="129"/>
  <c r="G29" i="129"/>
  <c r="G35" i="129"/>
  <c r="G40" i="129" s="1"/>
  <c r="G36" i="129"/>
  <c r="G37" i="129"/>
  <c r="G38" i="129"/>
  <c r="G39" i="129"/>
  <c r="F55" i="129"/>
  <c r="E5" i="128"/>
  <c r="E7" i="128"/>
  <c r="G19" i="128"/>
  <c r="G20" i="128"/>
  <c r="G21" i="128"/>
  <c r="G45" i="128" s="1"/>
  <c r="G22" i="128"/>
  <c r="G23" i="128"/>
  <c r="G24" i="128"/>
  <c r="G25" i="128"/>
  <c r="G26" i="128"/>
  <c r="G27" i="128"/>
  <c r="G28" i="128"/>
  <c r="G29" i="128"/>
  <c r="G30" i="128"/>
  <c r="G31" i="128"/>
  <c r="G32" i="128"/>
  <c r="G33" i="128"/>
  <c r="G34" i="128"/>
  <c r="G35" i="128"/>
  <c r="G36" i="128"/>
  <c r="G37" i="128"/>
  <c r="F39" i="128"/>
  <c r="G39" i="128"/>
  <c r="F40" i="128"/>
  <c r="G40" i="128"/>
  <c r="F41" i="128"/>
  <c r="G41" i="128"/>
  <c r="G42" i="128"/>
  <c r="F43" i="128"/>
  <c r="F44" i="128"/>
  <c r="G44" i="128"/>
  <c r="G47" i="128"/>
  <c r="XFD47" i="128" s="1"/>
  <c r="G48" i="128"/>
  <c r="G50" i="128"/>
  <c r="G52" i="128"/>
  <c r="F60" i="128"/>
  <c r="E5" i="127"/>
  <c r="E7" i="127"/>
  <c r="G19" i="127"/>
  <c r="G20" i="127"/>
  <c r="G21" i="127"/>
  <c r="G22" i="127"/>
  <c r="G23" i="127"/>
  <c r="G24" i="127"/>
  <c r="G33" i="127" s="1"/>
  <c r="G25" i="127"/>
  <c r="G26" i="127"/>
  <c r="G27" i="127"/>
  <c r="G28" i="127"/>
  <c r="G29" i="127"/>
  <c r="G30" i="127"/>
  <c r="G36" i="127"/>
  <c r="G37" i="127"/>
  <c r="G38" i="127"/>
  <c r="G39" i="127"/>
  <c r="G40" i="127"/>
  <c r="G41" i="127"/>
  <c r="G42" i="127"/>
  <c r="F56" i="127"/>
  <c r="G52" i="137" l="1"/>
  <c r="G41" i="137"/>
  <c r="XFD47" i="136"/>
  <c r="G54" i="136"/>
  <c r="G42" i="135"/>
  <c r="G44" i="135" s="1"/>
  <c r="G35" i="135"/>
  <c r="G49" i="135" s="1"/>
  <c r="G34" i="133"/>
  <c r="G43" i="133"/>
  <c r="G43" i="132"/>
  <c r="G34" i="132"/>
  <c r="G40" i="131"/>
  <c r="G50" i="131"/>
  <c r="G27" i="131"/>
  <c r="G41" i="129"/>
  <c r="G33" i="129"/>
  <c r="G54" i="128"/>
  <c r="G43" i="127"/>
  <c r="G34" i="127"/>
  <c r="G53" i="137" l="1"/>
  <c r="G54" i="137" s="1"/>
  <c r="G55" i="136"/>
  <c r="G56" i="136" s="1"/>
  <c r="G50" i="135"/>
  <c r="G51" i="135" s="1"/>
  <c r="G44" i="133"/>
  <c r="G45" i="133" s="1"/>
  <c r="G52" i="133" s="1"/>
  <c r="G44" i="132"/>
  <c r="G45" i="132"/>
  <c r="G52" i="132" s="1"/>
  <c r="G51" i="131"/>
  <c r="G52" i="131"/>
  <c r="G42" i="129"/>
  <c r="G43" i="129"/>
  <c r="G55" i="128"/>
  <c r="G56" i="128"/>
  <c r="G44" i="127"/>
  <c r="G45" i="127" s="1"/>
  <c r="G52" i="127" s="1"/>
  <c r="G60" i="137" l="1"/>
  <c r="G57" i="136"/>
  <c r="G58" i="136" s="1"/>
  <c r="G52" i="135"/>
  <c r="G53" i="135"/>
  <c r="G53" i="133"/>
  <c r="G54" i="133" s="1"/>
  <c r="G53" i="132"/>
  <c r="G54" i="132" s="1"/>
  <c r="G49" i="129"/>
  <c r="G50" i="129" s="1"/>
  <c r="G51" i="129" s="1"/>
  <c r="G58" i="128"/>
  <c r="G57" i="128"/>
  <c r="G53" i="127"/>
  <c r="G54" i="127" s="1"/>
  <c r="G61" i="137" l="1"/>
  <c r="G62" i="137" s="1"/>
  <c r="G52" i="129"/>
  <c r="G53" i="129" s="1"/>
  <c r="G63" i="137" l="1"/>
  <c r="G64" i="137" s="1"/>
  <c r="H58" i="94" l="1"/>
  <c r="F46" i="94" l="1"/>
  <c r="F47" i="94"/>
  <c r="I47" i="94" s="1"/>
  <c r="E47" i="94"/>
  <c r="H47" i="94" s="1"/>
  <c r="H16" i="94"/>
  <c r="I36" i="94"/>
  <c r="H37" i="94"/>
  <c r="F16" i="94" l="1"/>
  <c r="L60" i="94"/>
  <c r="E12" i="94"/>
  <c r="I16" i="94" s="1"/>
  <c r="F45" i="94"/>
  <c r="I45" i="94" s="1"/>
  <c r="E46" i="94"/>
  <c r="H46" i="94" s="1"/>
  <c r="F44" i="94"/>
  <c r="F43" i="94"/>
  <c r="E52" i="94"/>
  <c r="E45" i="94"/>
  <c r="H45" i="94" s="1"/>
  <c r="E42" i="94"/>
  <c r="E44" i="94"/>
  <c r="H44" i="94" s="1"/>
  <c r="E43" i="94"/>
  <c r="H43" i="94" s="1"/>
  <c r="I44" i="94" l="1"/>
  <c r="I46" i="94"/>
  <c r="I43" i="94"/>
  <c r="I37" i="94" l="1"/>
  <c r="H42" i="94"/>
  <c r="F42" i="94"/>
  <c r="I38" i="94"/>
  <c r="H38" i="94"/>
  <c r="H39" i="94"/>
  <c r="I39" i="94" s="1"/>
  <c r="H17" i="94"/>
  <c r="I17" i="94" s="1"/>
  <c r="H26" i="94"/>
  <c r="I26" i="94" s="1"/>
  <c r="H25" i="94"/>
  <c r="I25" i="94" s="1"/>
  <c r="H24" i="94"/>
  <c r="I24" i="94" s="1"/>
  <c r="H23" i="94"/>
  <c r="I23" i="94" s="1"/>
  <c r="H22" i="94"/>
  <c r="I22" i="94" s="1"/>
  <c r="H21" i="94"/>
  <c r="H20" i="94"/>
  <c r="I20" i="94" s="1"/>
  <c r="H19" i="94"/>
  <c r="I19" i="94" s="1"/>
  <c r="H18" i="94"/>
  <c r="I57" i="94"/>
  <c r="H56" i="94"/>
  <c r="I56" i="94" s="1"/>
  <c r="H55" i="94"/>
  <c r="I55" i="94" s="1"/>
  <c r="B52" i="94"/>
  <c r="H41" i="94"/>
  <c r="I41" i="94" s="1"/>
  <c r="I40" i="94"/>
  <c r="I14" i="94"/>
  <c r="H36" i="94" s="1"/>
  <c r="H33" i="94" l="1"/>
  <c r="I33" i="94" s="1"/>
  <c r="H34" i="94"/>
  <c r="I34" i="94" s="1"/>
  <c r="I42" i="94"/>
  <c r="I21" i="94"/>
  <c r="I18" i="94"/>
  <c r="H30" i="94"/>
  <c r="I30" i="94" s="1"/>
  <c r="H31" i="94"/>
  <c r="I31" i="94" s="1"/>
  <c r="H35" i="94"/>
  <c r="I35" i="94" s="1"/>
  <c r="H32" i="94"/>
  <c r="I32" i="94" s="1"/>
  <c r="I27" i="94" l="1"/>
  <c r="I29" i="94" l="1"/>
  <c r="I48" i="94" s="1"/>
  <c r="I49" i="94" s="1"/>
  <c r="I50" i="94" l="1"/>
  <c r="C109" i="94" s="1"/>
  <c r="I52" i="94" l="1"/>
  <c r="I60" i="94" s="1"/>
  <c r="C108" i="94"/>
  <c r="C110" i="94" s="1"/>
  <c r="I59" i="94" l="1"/>
  <c r="I74" i="94"/>
  <c r="I62" i="94"/>
  <c r="I73" i="94"/>
  <c r="I61" i="94"/>
  <c r="I65" i="94" l="1"/>
  <c r="I64" i="94"/>
  <c r="I11" i="93"/>
  <c r="I12" i="93"/>
  <c r="G16" i="93"/>
  <c r="I13" i="93" s="1"/>
  <c r="I60" i="93" l="1"/>
  <c r="I61" i="93" s="1"/>
  <c r="I62" i="93" l="1"/>
  <c r="I65" i="93" s="1"/>
  <c r="I64" i="93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<sst xmlns="http://schemas.openxmlformats.org/spreadsheetml/2006/main" count="2890" uniqueCount="470">
  <si>
    <t>Sintra or Coro (10mil)</t>
  </si>
  <si>
    <t>Crezon</t>
  </si>
  <si>
    <t>3mm Alupanel</t>
  </si>
  <si>
    <t>6mm Alupanel</t>
  </si>
  <si>
    <t>3mm Arena Board</t>
  </si>
  <si>
    <t>Polystyrene</t>
  </si>
  <si>
    <t>Aluminum (0.080)</t>
  </si>
  <si>
    <t>6mm Cast Acrylic</t>
  </si>
  <si>
    <t>Rate</t>
  </si>
  <si>
    <t>Additional comments</t>
  </si>
  <si>
    <t>Factor</t>
  </si>
  <si>
    <t>ADJUSTED PRICE</t>
  </si>
  <si>
    <t>SUB-TOTAL ADDED COSTS</t>
  </si>
  <si>
    <t>QUANTITY</t>
  </si>
  <si>
    <t>Quantity adjustments</t>
  </si>
  <si>
    <t>TOTAL BASE COST</t>
  </si>
  <si>
    <t>Router Charges ($/hour)</t>
  </si>
  <si>
    <t>SQUARE FEET</t>
  </si>
  <si>
    <t>DESIGN HOURS</t>
  </si>
  <si>
    <t>Hours</t>
  </si>
  <si>
    <t>Substrate Options (Select 1 only)</t>
  </si>
  <si>
    <t>Additional sign options (Select all that apply)</t>
  </si>
  <si>
    <t>ROUTER CHARGE (HOURS)</t>
  </si>
  <si>
    <t>CONFIDENTIAL INTERNAL QUOTE</t>
  </si>
  <si>
    <t>Width</t>
  </si>
  <si>
    <t>GROMMETS, DRILL HOLES / SIGN</t>
  </si>
  <si>
    <t>BASE PRICE</t>
  </si>
  <si>
    <t>GST</t>
  </si>
  <si>
    <t>RAV (full colour reflective)</t>
  </si>
  <si>
    <t>Reflective die cut copy (3 year life)</t>
  </si>
  <si>
    <t>Step stakes</t>
  </si>
  <si>
    <t>Double sided</t>
  </si>
  <si>
    <t xml:space="preserve">Reflective backgrounds (sheeted, 3 year life) </t>
  </si>
  <si>
    <t xml:space="preserve">Grommets or drill holes </t>
  </si>
  <si>
    <t>Not Valid</t>
  </si>
  <si>
    <t>Mounting Pins</t>
  </si>
  <si>
    <t>Cut Contour &amp; $20 setup charge</t>
  </si>
  <si>
    <t>SHOP LABOUR (HOURS)</t>
  </si>
  <si>
    <t>MOUNTING PINS / SIGN</t>
  </si>
  <si>
    <t>ENTER SIGN DESCRIPTION HERE:</t>
  </si>
  <si>
    <t>Outsource charges</t>
  </si>
  <si>
    <t>OTHER CHARGES:</t>
  </si>
  <si>
    <t>OUTSOURCE COST</t>
  </si>
  <si>
    <t>Painted/PC backgrounds add (min $40)</t>
  </si>
  <si>
    <t>SIGN LENGTH (LONG DIMENSION) *max 120"</t>
  </si>
  <si>
    <t>Total</t>
  </si>
  <si>
    <t>Cost</t>
  </si>
  <si>
    <t>Final</t>
  </si>
  <si>
    <t>Materials</t>
  </si>
  <si>
    <t>Sq. Ft.</t>
  </si>
  <si>
    <t>Retail</t>
  </si>
  <si>
    <t>VAV</t>
  </si>
  <si>
    <t>LTV</t>
  </si>
  <si>
    <t>PAVV</t>
  </si>
  <si>
    <t>GHT</t>
  </si>
  <si>
    <t>RAV</t>
  </si>
  <si>
    <t>Other - CVAV</t>
  </si>
  <si>
    <t>Avery SW 900</t>
  </si>
  <si>
    <t>3M 1080</t>
  </si>
  <si>
    <t>Avery HP 750</t>
  </si>
  <si>
    <t>Avery SC 900</t>
  </si>
  <si>
    <t>Contour Set-up (per print)</t>
  </si>
  <si>
    <t>Other</t>
  </si>
  <si>
    <t>Installation / Labor</t>
  </si>
  <si>
    <t>Time</t>
  </si>
  <si>
    <t>Clean &amp; Prep</t>
  </si>
  <si>
    <t>Cab</t>
  </si>
  <si>
    <t>Box</t>
  </si>
  <si>
    <t>Windows</t>
  </si>
  <si>
    <t>Flares</t>
  </si>
  <si>
    <t>Handles</t>
  </si>
  <si>
    <t>Tailgate</t>
  </si>
  <si>
    <t>Window</t>
  </si>
  <si>
    <t>Bumper</t>
  </si>
  <si>
    <t>Spoiler</t>
  </si>
  <si>
    <t>Corners (cargo vans)</t>
  </si>
  <si>
    <t>Template (cube vans)</t>
  </si>
  <si>
    <t>Other - corners</t>
  </si>
  <si>
    <t>Hood</t>
  </si>
  <si>
    <t>Grill</t>
  </si>
  <si>
    <t>Roof</t>
  </si>
  <si>
    <t>Fin</t>
  </si>
  <si>
    <t>Design</t>
  </si>
  <si>
    <t>Stock</t>
  </si>
  <si>
    <t>ESTIMATOR:</t>
  </si>
  <si>
    <t>SIGN QUOTING WORKSHEET</t>
  </si>
  <si>
    <t>SUPPLIER</t>
  </si>
  <si>
    <t>TO</t>
  </si>
  <si>
    <t>SIGN HEIGHT (SHORT DIMENSION)  *max 60"</t>
  </si>
  <si>
    <t>Coro (Full colour,  direct print or 1 colour cut vinyl)</t>
  </si>
  <si>
    <t>Custom</t>
  </si>
  <si>
    <t>Column1</t>
  </si>
  <si>
    <t>Dry Erase/ Anti Grafitti Lam</t>
  </si>
  <si>
    <t>1/2" Standoffs</t>
  </si>
  <si>
    <t>3/4" Standoffs</t>
  </si>
  <si>
    <t>1" Standoffs</t>
  </si>
  <si>
    <t>QTY</t>
  </si>
  <si>
    <t>Design time @ $70/hr</t>
  </si>
  <si>
    <t>Shop Labour @ $70/hr</t>
  </si>
  <si>
    <t>PST</t>
  </si>
  <si>
    <t>Yes</t>
  </si>
  <si>
    <t>No</t>
  </si>
  <si>
    <t>Yes/No</t>
  </si>
  <si>
    <t>Description</t>
  </si>
  <si>
    <t>1/2" Caps (Set of 4)</t>
  </si>
  <si>
    <t>LTV, CAV, GHT, SHEET A6</t>
  </si>
  <si>
    <t xml:space="preserve"> Thomas Scott Signcraft Ltd.</t>
  </si>
  <si>
    <t>3-817 Finns Rd</t>
  </si>
  <si>
    <t>INVOICE NO.</t>
  </si>
  <si>
    <t>[100]</t>
  </si>
  <si>
    <t>V1X 5B8</t>
  </si>
  <si>
    <t>DATE</t>
  </si>
  <si>
    <t>250-491-8600</t>
  </si>
  <si>
    <t>CUSTOMER ID</t>
  </si>
  <si>
    <t>[ABC12345]</t>
  </si>
  <si>
    <t>info@signcraft.ca</t>
  </si>
  <si>
    <t>EXPIRATION DATE</t>
  </si>
  <si>
    <t xml:space="preserve">ESTIMATOR: </t>
  </si>
  <si>
    <t>KELOWNA</t>
  </si>
  <si>
    <t>[Phone]</t>
  </si>
  <si>
    <t>ALUPANEL LETTERS PIN MOUNTED 3MM THICK</t>
  </si>
  <si>
    <t>SALESPERSON</t>
  </si>
  <si>
    <t>JOB</t>
  </si>
  <si>
    <t>SHIPPING 
METHOD</t>
  </si>
  <si>
    <t>SHIPPING 
TERMS</t>
  </si>
  <si>
    <t>DELIVERY 
DATE</t>
  </si>
  <si>
    <t>PAYMENT 
TERMS</t>
  </si>
  <si>
    <t>DUE DATE</t>
  </si>
  <si>
    <t>Due on receipt</t>
  </si>
  <si>
    <t>ITEM #</t>
  </si>
  <si>
    <t>DESCRIPTION</t>
  </si>
  <si>
    <t>UNIT PRICE</t>
  </si>
  <si>
    <t>DISCOUNT</t>
  </si>
  <si>
    <t>LINE TOTAL</t>
  </si>
  <si>
    <t>LETTER</t>
  </si>
  <si>
    <t>2"</t>
  </si>
  <si>
    <t>3"</t>
  </si>
  <si>
    <t>4"</t>
  </si>
  <si>
    <t>5"</t>
  </si>
  <si>
    <t>6"</t>
  </si>
  <si>
    <t>7"</t>
  </si>
  <si>
    <t>8"</t>
  </si>
  <si>
    <t>10"</t>
  </si>
  <si>
    <t>12"</t>
  </si>
  <si>
    <t>14"</t>
  </si>
  <si>
    <t>16"</t>
  </si>
  <si>
    <t>18"</t>
  </si>
  <si>
    <t>20"</t>
  </si>
  <si>
    <t>23"</t>
  </si>
  <si>
    <t>24"</t>
  </si>
  <si>
    <t>26"</t>
  </si>
  <si>
    <t>28"</t>
  </si>
  <si>
    <t>30"</t>
  </si>
  <si>
    <t>34"</t>
  </si>
  <si>
    <t>LOGO</t>
  </si>
  <si>
    <t>CUSTOM LOGO</t>
  </si>
  <si>
    <t>MANUAL ENT</t>
  </si>
  <si>
    <t>JEWEL PER FOOT</t>
  </si>
  <si>
    <t>1" BLK, WHT,RED</t>
  </si>
  <si>
    <t>PINS</t>
  </si>
  <si>
    <t>GLUE ON TYPE</t>
  </si>
  <si>
    <t>VINYL</t>
  </si>
  <si>
    <t>PER SQ FOOT</t>
  </si>
  <si>
    <t>MISC MATERIAL</t>
  </si>
  <si>
    <t>RACEWAY, POWDER COAT, ETC</t>
  </si>
  <si>
    <t>ALUPANEL PER SHEET</t>
  </si>
  <si>
    <t>PAPER PATTERNS</t>
  </si>
  <si>
    <t>MATERIALS TOTAL</t>
  </si>
  <si>
    <t>TOTAL FOR PST SA</t>
  </si>
  <si>
    <t>7% 0F MATERIAL COST</t>
  </si>
  <si>
    <t>ART/DESIGN TIME</t>
  </si>
  <si>
    <t>INSTALLATION</t>
  </si>
  <si>
    <t>MANUAL ENTRY</t>
  </si>
  <si>
    <t>HOURLY</t>
  </si>
  <si>
    <t>PERMITS</t>
  </si>
  <si>
    <t>SHOP LABOUR</t>
  </si>
  <si>
    <t>PRE DISCOUNT TOTAL</t>
  </si>
  <si>
    <t>TOTAL DISCOUNT</t>
  </si>
  <si>
    <t>SUBTOTAL</t>
  </si>
  <si>
    <t>TOTAL</t>
  </si>
  <si>
    <t>[Street Address]</t>
  </si>
  <si>
    <t>ALUPANEL LETTERS PIN MOUNTED 6MM THICK</t>
  </si>
  <si>
    <t>ALUMINUM LETTERS PIN MOUNTED .125 THICK</t>
  </si>
  <si>
    <t>MATERIAL</t>
  </si>
  <si>
    <t>POWDER COAT</t>
  </si>
  <si>
    <t>0-6"</t>
  </si>
  <si>
    <t>6-9"</t>
  </si>
  <si>
    <t>9-12"</t>
  </si>
  <si>
    <t>12-18"</t>
  </si>
  <si>
    <t>18-24"</t>
  </si>
  <si>
    <t>WELD ON TYPE</t>
  </si>
  <si>
    <t>RACEWAY &amp; PC</t>
  </si>
  <si>
    <t>ALUMINUM PER SHEET</t>
  </si>
  <si>
    <t>DIMENSIONAL LETTER QUOTE FORMS</t>
  </si>
  <si>
    <t>SIGN QUOTE FORMS</t>
  </si>
  <si>
    <t xml:space="preserve">Estimator: </t>
  </si>
  <si>
    <t>COIL &amp;TRIM</t>
  </si>
  <si>
    <t>PER LINEAL FOOT</t>
  </si>
  <si>
    <t>NRG 2</t>
  </si>
  <si>
    <t>PER MODULE</t>
  </si>
  <si>
    <t>NRG 3</t>
  </si>
  <si>
    <t>H60W</t>
  </si>
  <si>
    <t>EACH</t>
  </si>
  <si>
    <t>H100W</t>
  </si>
  <si>
    <t>PLEXI</t>
  </si>
  <si>
    <t>.040 ALUM</t>
  </si>
  <si>
    <t xml:space="preserve"> PER SQ FOOT</t>
  </si>
  <si>
    <t>.063 ALUM</t>
  </si>
  <si>
    <t>MISC WIRING</t>
  </si>
  <si>
    <t>AVERAGE COST</t>
  </si>
  <si>
    <t>A9 VINYL</t>
  </si>
  <si>
    <t>MISC PARTS</t>
  </si>
  <si>
    <t>FASTENERS Glues</t>
  </si>
  <si>
    <t>MANUAL</t>
  </si>
  <si>
    <t>RACEWAY</t>
  </si>
  <si>
    <t>PARTS TOTAL</t>
  </si>
  <si>
    <t>PST SELF ASSESS</t>
  </si>
  <si>
    <t>ARTWORK DESIGN</t>
  </si>
  <si>
    <t xml:space="preserve"> PER HOUR</t>
  </si>
  <si>
    <t>FORM &amp; GLUE</t>
  </si>
  <si>
    <t>LED &amp; ASSEMBLE</t>
  </si>
  <si>
    <t>CNC &amp; CLEANUP</t>
  </si>
  <si>
    <t xml:space="preserve"> CSA CHARGE</t>
  </si>
  <si>
    <t>LABOUR TOTAL</t>
  </si>
  <si>
    <t>PARTS &amp; LABOUR SUB</t>
  </si>
  <si>
    <t>MARK UP</t>
  </si>
  <si>
    <t xml:space="preserve">PRE INSTALL TOTAL </t>
  </si>
  <si>
    <t>QUOTED</t>
  </si>
  <si>
    <t>PACKING/SHIPPING</t>
  </si>
  <si>
    <t>SELECT A FORM TO START</t>
  </si>
  <si>
    <t xml:space="preserve"> </t>
  </si>
  <si>
    <t>4" x 4" Treated Wood</t>
  </si>
  <si>
    <t>Reboundable White</t>
  </si>
  <si>
    <t>Standoffs</t>
  </si>
  <si>
    <t>Select Size</t>
  </si>
  <si>
    <t>Metal Posts</t>
  </si>
  <si>
    <t>Wood Posts</t>
  </si>
  <si>
    <t>6'</t>
  </si>
  <si>
    <t>8'</t>
  </si>
  <si>
    <t>10'</t>
  </si>
  <si>
    <t>12'</t>
  </si>
  <si>
    <t>42"</t>
  </si>
  <si>
    <t>48"</t>
  </si>
  <si>
    <t>66"</t>
  </si>
  <si>
    <t>Check Box For
Custom Discount</t>
  </si>
  <si>
    <t>Brackets</t>
  </si>
  <si>
    <t>HS-1</t>
  </si>
  <si>
    <t>FB-021</t>
  </si>
  <si>
    <t>40" Gear Clamp</t>
  </si>
  <si>
    <t xml:space="preserve">TOTAL COST BEFORE TAX &amp; DISC </t>
  </si>
  <si>
    <t>IS PST SELF ASSESSED?</t>
  </si>
  <si>
    <t>SUB TOTAL</t>
  </si>
  <si>
    <t>Cust Discount</t>
  </si>
  <si>
    <t>Qty Discount</t>
  </si>
  <si>
    <t>Select Substrate</t>
  </si>
  <si>
    <t>Enter Custom Description</t>
  </si>
  <si>
    <t>Bracket Add On</t>
  </si>
  <si>
    <r>
      <t xml:space="preserve">2 </t>
    </r>
    <r>
      <rPr>
        <b/>
        <sz val="8"/>
        <color theme="1"/>
        <rFont val="Calibri"/>
        <family val="2"/>
        <scheme val="minor"/>
      </rPr>
      <t>3/8</t>
    </r>
    <r>
      <rPr>
        <sz val="11"/>
        <color theme="1"/>
        <rFont val="Calibri"/>
        <family val="2"/>
        <scheme val="minor"/>
      </rPr>
      <t xml:space="preserve"> Metal Posts</t>
    </r>
  </si>
  <si>
    <t>TAX TOTAL</t>
  </si>
  <si>
    <t>FINAL TOTAL</t>
  </si>
  <si>
    <t>TOTAL PER SIGN</t>
  </si>
  <si>
    <t>SELF ASSESED PST</t>
  </si>
  <si>
    <t>SALES TAX</t>
  </si>
  <si>
    <t>WATTS</t>
  </si>
  <si>
    <t>INSTALLED IN FEET</t>
  </si>
  <si>
    <t xml:space="preserve">LED </t>
  </si>
  <si>
    <t>REMOVED IN FEET</t>
  </si>
  <si>
    <t>DLHO</t>
  </si>
  <si>
    <t>NEON</t>
  </si>
  <si>
    <t>TBC</t>
  </si>
  <si>
    <t>ESTIMATED REBATE AMOUNT</t>
  </si>
  <si>
    <t>TBC by Steve</t>
  </si>
  <si>
    <t>TOTAL JOB COST</t>
  </si>
  <si>
    <t>PER DECAL</t>
  </si>
  <si>
    <t>CSA</t>
  </si>
  <si>
    <t>INSTALL W/LADDER</t>
  </si>
  <si>
    <t>LABOUR</t>
  </si>
  <si>
    <t>INSTALL W/TRUCK</t>
  </si>
  <si>
    <t xml:space="preserve"> REMOVAL W/TRUCK</t>
  </si>
  <si>
    <t>IN SHOP</t>
  </si>
  <si>
    <t>LIGHTING DESIGN</t>
  </si>
  <si>
    <t>MATERIAL MARK UP</t>
  </si>
  <si>
    <t>PARTS SUB TOTAL</t>
  </si>
  <si>
    <t>MISC MATERIALS</t>
  </si>
  <si>
    <t>WIRE CONNECTORS ETC</t>
  </si>
  <si>
    <t>HOLDERS HDPE</t>
  </si>
  <si>
    <t>SOCKET</t>
  </si>
  <si>
    <t>1" PICKET</t>
  </si>
  <si>
    <t>NRG PE-3</t>
  </si>
  <si>
    <t>NRG PE-2</t>
  </si>
  <si>
    <t>50/50</t>
  </si>
  <si>
    <t>INSTALL 
DATE (est)</t>
  </si>
  <si>
    <t xml:space="preserve">LED RETROFIT QUOTE HANLEY LED </t>
  </si>
  <si>
    <t>ESTIMATOR: Steve</t>
  </si>
  <si>
    <t>CITY FEES + 85.00</t>
  </si>
  <si>
    <t xml:space="preserve"> FULL CHARGE</t>
  </si>
  <si>
    <t>MISC CSA</t>
  </si>
  <si>
    <t>PLOTTER APP</t>
  </si>
  <si>
    <t>ARTWORK</t>
  </si>
  <si>
    <t>FAB LABOUR</t>
  </si>
  <si>
    <t xml:space="preserve">PARTS TOTAL </t>
  </si>
  <si>
    <t>GRAPHICS CAV</t>
  </si>
  <si>
    <t>GRAPHICS A9</t>
  </si>
  <si>
    <t>LEXAN FACE</t>
  </si>
  <si>
    <t>MIN $ 50.00 - 2,50 PER SQ FOOT</t>
  </si>
  <si>
    <t>BACK METAL</t>
  </si>
  <si>
    <t>MISC</t>
  </si>
  <si>
    <t>2138 DIVIDER</t>
  </si>
  <si>
    <t>EX 7, EX 12</t>
  </si>
  <si>
    <t xml:space="preserve">   MANUAL ENT</t>
  </si>
  <si>
    <t>FROMED BODY</t>
  </si>
  <si>
    <t>CUSTOM</t>
  </si>
  <si>
    <t>EX 8</t>
  </si>
  <si>
    <t>New illum. Sign cabinet</t>
  </si>
  <si>
    <t>Kelowna</t>
  </si>
  <si>
    <t>VINYL INSTALL PER SQFT</t>
  </si>
  <si>
    <t xml:space="preserve">VINYL INSTALL </t>
  </si>
  <si>
    <t>PER HOUR</t>
  </si>
  <si>
    <t>DS TAPE LABOUR</t>
  </si>
  <si>
    <t xml:space="preserve"> IN HOUSE PER HOUR</t>
  </si>
  <si>
    <t>PAINTING</t>
  </si>
  <si>
    <t>VINYL APPLICATION</t>
  </si>
  <si>
    <t>SETUPS</t>
  </si>
  <si>
    <t>PER SQUARE FOOT</t>
  </si>
  <si>
    <t>CUT CONTOUR</t>
  </si>
  <si>
    <t>CUSTOM MATERIAL</t>
  </si>
  <si>
    <t>RAV VINYL</t>
  </si>
  <si>
    <t>ETCH VINYL</t>
  </si>
  <si>
    <t>CAV VINYL</t>
  </si>
  <si>
    <t>LTV VINYL</t>
  </si>
  <si>
    <t>DIE CUT VINYL</t>
  </si>
  <si>
    <t>4X8</t>
  </si>
  <si>
    <t>ARENA BOARD 3MM</t>
  </si>
  <si>
    <t>CREZON</t>
  </si>
  <si>
    <t>125 ALUMINUM</t>
  </si>
  <si>
    <t>080 ALUMINUM</t>
  </si>
  <si>
    <t>10MM KOMATEX</t>
  </si>
  <si>
    <t>3MM KOMATEX</t>
  </si>
  <si>
    <t>6MM ALUPANEL</t>
  </si>
  <si>
    <t>3MM WHITE ALUPANEL</t>
  </si>
  <si>
    <t>12MM CAST ACRYLIC</t>
  </si>
  <si>
    <t>6MM CAST ACRYLIC</t>
  </si>
  <si>
    <t>49X97</t>
  </si>
  <si>
    <t>4.5MM ACRYLIC</t>
  </si>
  <si>
    <t>3MM ACRYLIC</t>
  </si>
  <si>
    <t>MATERIALS</t>
  </si>
  <si>
    <t>FABRICATION</t>
  </si>
  <si>
    <t>APPLY VINYL &amp; DS TAPE</t>
  </si>
  <si>
    <t>POWDER COAT RACEWAY</t>
  </si>
  <si>
    <t>SIGNLOK ETC</t>
  </si>
  <si>
    <t>DIFFUSER</t>
  </si>
  <si>
    <t>19MM ACRYLIC</t>
  </si>
  <si>
    <t>EACH ENTER UNIT COST</t>
  </si>
  <si>
    <t>FACE PANEL FORMED</t>
  </si>
  <si>
    <t>LED NRG PE-3</t>
  </si>
  <si>
    <t>PER  MODULE</t>
  </si>
  <si>
    <t>LED NRG PE-2</t>
  </si>
  <si>
    <t>BACKER PANEL FORMED</t>
  </si>
  <si>
    <t xml:space="preserve">ANGLE </t>
  </si>
  <si>
    <t>3MM MM HD WHT/BLK</t>
  </si>
  <si>
    <t xml:space="preserve">LED ILLUMINATED CHANNEL LETTERS </t>
  </si>
  <si>
    <t>ACRYLIC LETTERS PIN MOUNTED 6MM THICK WHITE OR BLACK</t>
  </si>
  <si>
    <t>SILVER, SATIN,GOLD</t>
  </si>
  <si>
    <t xml:space="preserve">BLK, WHT, </t>
  </si>
  <si>
    <t>6061, 0.25</t>
  </si>
  <si>
    <t>220245 PSJ DEVELOPMENTS LTD SL12</t>
  </si>
  <si>
    <t>Vicky</t>
  </si>
  <si>
    <t>ALUMINUM LETTERS PIN MOUNTED .25 THICK 6061 ALLOY</t>
  </si>
  <si>
    <t>brackets</t>
  </si>
  <si>
    <t xml:space="preserve">3MM ALUPANEL </t>
  </si>
  <si>
    <t>Steve</t>
  </si>
  <si>
    <t>EX1 OR EX8</t>
  </si>
  <si>
    <t>EX7</t>
  </si>
  <si>
    <t>Avery V 4000</t>
  </si>
  <si>
    <t>Qty</t>
  </si>
  <si>
    <t>Height</t>
  </si>
  <si>
    <t>Height w/Bleed</t>
  </si>
  <si>
    <t>Material Height</t>
  </si>
  <si>
    <t>Width w/Bleed</t>
  </si>
  <si>
    <t>Square Footage</t>
  </si>
  <si>
    <t>Material Size</t>
  </si>
  <si>
    <t>How Many 6ft Sections</t>
  </si>
  <si>
    <t>Price</t>
  </si>
  <si>
    <t>Setup Fee</t>
  </si>
  <si>
    <t>Per Decal</t>
  </si>
  <si>
    <t>ESTIMATOR</t>
  </si>
  <si>
    <t xml:space="preserve">OUTPUT FILE NAME </t>
  </si>
  <si>
    <t>ENTER VINYL DESCRIPTION HERE:</t>
  </si>
  <si>
    <t>OUTPUT</t>
  </si>
  <si>
    <t>How many column</t>
  </si>
  <si>
    <t>How many Rows</t>
  </si>
  <si>
    <t>Material Length</t>
  </si>
  <si>
    <t xml:space="preserve">Length </t>
  </si>
  <si>
    <t>INPUT AREA (IN INCHES)</t>
  </si>
  <si>
    <t>Finishing</t>
  </si>
  <si>
    <t>Leave on roll</t>
  </si>
  <si>
    <t>In strips</t>
  </si>
  <si>
    <t>Individual</t>
  </si>
  <si>
    <t>Select one</t>
  </si>
  <si>
    <t xml:space="preserve">Material Price (Sq Ft) </t>
  </si>
  <si>
    <t>Finishing Fee</t>
  </si>
  <si>
    <t>Vinyl Substrate Select One</t>
  </si>
  <si>
    <t></t>
  </si>
  <si>
    <t>Finishing Time (hrs)</t>
  </si>
  <si>
    <t>Blank6mmm</t>
  </si>
  <si>
    <t>Blank3mm</t>
  </si>
  <si>
    <t>BlankAcrylicLetters</t>
  </si>
  <si>
    <t>BlankAlu25</t>
  </si>
  <si>
    <t>BlankAlu125</t>
  </si>
  <si>
    <t>6MM ACM</t>
  </si>
  <si>
    <t>3MM ACM</t>
  </si>
  <si>
    <t>Acry</t>
  </si>
  <si>
    <t>6mm</t>
  </si>
  <si>
    <t>3mm</t>
  </si>
  <si>
    <t>SUBSTRATE</t>
  </si>
  <si>
    <t>Aluminum .125</t>
  </si>
  <si>
    <t>Aluminum .25</t>
  </si>
  <si>
    <t>Acrylic</t>
  </si>
  <si>
    <t>Cell</t>
  </si>
  <si>
    <t>Size</t>
  </si>
  <si>
    <t>-</t>
  </si>
  <si>
    <t>Substrate</t>
  </si>
  <si>
    <t>Powder</t>
  </si>
  <si>
    <t>LETTERS</t>
  </si>
  <si>
    <t>SIZE</t>
  </si>
  <si>
    <t xml:space="preserve">Pins </t>
  </si>
  <si>
    <t>N/A</t>
  </si>
  <si>
    <t>ALU</t>
  </si>
  <si>
    <t>INSTALLATION (HOURS)</t>
  </si>
  <si>
    <t>7% OF SA COST</t>
  </si>
  <si>
    <t>TOTAL FOR ALL MATERIAL</t>
  </si>
  <si>
    <t>PAPER PATTERS</t>
  </si>
  <si>
    <t>PERMITS (MANUAL)</t>
  </si>
  <si>
    <t>INSTALLATION HRS</t>
  </si>
  <si>
    <t>INSTALLATION HRS(MANUAL)</t>
  </si>
  <si>
    <t>SHOP LABOUR HRS</t>
  </si>
  <si>
    <t>AMOUNT</t>
  </si>
  <si>
    <t>PRICE</t>
  </si>
  <si>
    <t>LETTERS QUOTE WORKSHEET</t>
  </si>
  <si>
    <t>Sheet Name</t>
  </si>
  <si>
    <t>User Name:</t>
  </si>
  <si>
    <t>VEHICLE QUOTING WORKSHEET</t>
  </si>
  <si>
    <t>COMPANY</t>
  </si>
  <si>
    <t>VEHICLE</t>
  </si>
  <si>
    <t>MAKE</t>
  </si>
  <si>
    <t>MODEL</t>
  </si>
  <si>
    <t>YEAR</t>
  </si>
  <si>
    <t>TRIM</t>
  </si>
  <si>
    <t>MATERIAL TOTAL</t>
  </si>
  <si>
    <t>MATERIAL COST</t>
  </si>
  <si>
    <t>LABOUR COST</t>
  </si>
  <si>
    <t>DESIGN</t>
  </si>
  <si>
    <t>SIDE</t>
  </si>
  <si>
    <t>ROOF</t>
  </si>
  <si>
    <t>FRONT</t>
  </si>
  <si>
    <t>REAR</t>
  </si>
  <si>
    <t>LABOUR HOURS</t>
  </si>
  <si>
    <t>DESIGN COST</t>
  </si>
  <si>
    <t>NAME</t>
  </si>
  <si>
    <t>FILE OUTPUT NAME</t>
  </si>
  <si>
    <t>substrate</t>
  </si>
  <si>
    <t>{INSERT_NAME_HERE}</t>
  </si>
  <si>
    <t>Condition</t>
  </si>
  <si>
    <t>Adjustment</t>
  </si>
  <si>
    <t>Cost/354 * Scale</t>
  </si>
  <si>
    <t>Substrate for Pins</t>
  </si>
  <si>
    <t>Unit Price for Pins</t>
  </si>
  <si>
    <t>Quantity of Pins</t>
  </si>
  <si>
    <t>Total Price for Pins</t>
  </si>
  <si>
    <t>Your Material Here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</si>
</sst>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1">
    <numFmt numFmtId="164" formatCode="&quot;$&quot;#,##0.00_);\(&quot;$&quot;#,##0.00\)"/>
    <numFmt numFmtId="165" formatCode="&quot;$&quot;#,##0_);[Red]\(&quot;$&quot;#,##0\)"/>
    <numFmt numFmtId="166" formatCode="&quot;$&quot;#,##0.00_);[Red]\(&quot;$&quot;#,##0.00\)"/>
    <numFmt numFmtId="167" formatCode="_(&quot;$&quot;* #,##0.00_);_(&quot;$&quot;* \(#,##0.00\);_(&quot;$&quot;* &quot;-&quot;??_);_(@_)"/>
    <numFmt numFmtId="168" formatCode="_(* #,##0.00_);_(* \(#,##0.00\);_(* &quot;-&quot;??_);_(@_)"/>
    <numFmt numFmtId="169" formatCode="&quot;$&quot;#,##0.00"/>
    <numFmt numFmtId="170" formatCode="&quot;$&quot;#,##0"/>
    <numFmt numFmtId="171" formatCode="[$-409]mmmm\ d\,\ yyyy;@"/>
    <numFmt numFmtId="172" formatCode="m/d/yy;@"/>
    <numFmt numFmtId="173" formatCode="0\'"/>
    <numFmt numFmtId="174" formatCode="&quot;$&quot;#,##0.00;[Red]&quot;$&quot;#,##0.00"/>
  </numFmts>
  <fonts count="5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C00000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10"/>
      <name val="Calibri"/>
      <family val="2"/>
      <scheme val="minor"/>
    </font>
    <font>
      <i/>
      <sz val="8"/>
      <name val="Calibri"/>
      <family val="2"/>
      <scheme val="minor"/>
    </font>
    <font>
      <sz val="8"/>
      <name val="Calibri"/>
      <family val="2"/>
      <scheme val="minor"/>
    </font>
    <font>
      <sz val="8"/>
      <name val="Calibri Light"/>
      <family val="2"/>
      <scheme val="major"/>
    </font>
    <font>
      <u/>
      <sz val="10"/>
      <color theme="10"/>
      <name val="Arial"/>
      <family val="2"/>
    </font>
    <font>
      <b/>
      <sz val="8"/>
      <name val="Calibri Light"/>
      <family val="2"/>
      <scheme val="major"/>
    </font>
    <font>
      <b/>
      <sz val="8"/>
      <name val="Calibri"/>
      <family val="2"/>
      <scheme val="minor"/>
    </font>
    <font>
      <sz val="10"/>
      <color rgb="FFFF0000"/>
      <name val="Calibri"/>
      <family val="2"/>
      <scheme val="minor"/>
    </font>
    <font>
      <sz val="8"/>
      <color rgb="FFFF0000"/>
      <name val="Calibri"/>
      <family val="2"/>
      <scheme val="minor"/>
    </font>
    <font>
      <b/>
      <sz val="8"/>
      <color rgb="FFFF0000"/>
      <name val="Calibri"/>
      <family val="2"/>
      <scheme val="minor"/>
    </font>
    <font>
      <b/>
      <sz val="9"/>
      <name val="Calibri"/>
      <family val="2"/>
      <scheme val="minor"/>
    </font>
    <font>
      <b/>
      <sz val="10"/>
      <name val="Calibri"/>
      <family val="2"/>
      <scheme val="minor"/>
    </font>
    <font>
      <b/>
      <i/>
      <sz val="10"/>
      <color indexed="46"/>
      <name val="Calibri"/>
      <family val="2"/>
      <scheme val="minor"/>
    </font>
    <font>
      <sz val="10"/>
      <color indexed="46"/>
      <name val="Calibri"/>
      <family val="2"/>
      <scheme val="minor"/>
    </font>
    <font>
      <b/>
      <sz val="10"/>
      <color indexed="41"/>
      <name val="Calibri"/>
      <family val="2"/>
      <scheme val="minor"/>
    </font>
    <font>
      <sz val="10"/>
      <name val="Arial"/>
      <family val="2"/>
    </font>
    <font>
      <sz val="10"/>
      <color rgb="FF0070C0"/>
      <name val="Calibri"/>
      <family val="2"/>
      <scheme val="minor"/>
    </font>
    <font>
      <sz val="8"/>
      <color rgb="FF0070C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u/>
      <sz val="11"/>
      <color theme="0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rgb="FF006100"/>
      <name val="Calibri"/>
      <family val="2"/>
      <scheme val="minor"/>
    </font>
    <font>
      <sz val="12"/>
      <color theme="0"/>
      <name val="Calibri"/>
      <family val="2"/>
      <scheme val="minor"/>
    </font>
    <font>
      <sz val="10"/>
      <name val="Arial"/>
      <family val="2"/>
    </font>
    <font>
      <sz val="8"/>
      <color theme="1"/>
      <name val="Calibri"/>
      <family val="2"/>
      <scheme val="minor"/>
    </font>
    <font>
      <sz val="8"/>
      <color theme="6" tint="0.79998168889431442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name val="Ubuntu Mono"/>
      <family val="3"/>
    </font>
    <font>
      <sz val="11"/>
      <color theme="2" tint="-0.749992370372631"/>
      <name val="Wingdings 3"/>
      <family val="1"/>
      <charset val="2"/>
    </font>
    <font>
      <b/>
      <sz val="16"/>
      <color theme="0"/>
      <name val="Calibri"/>
      <family val="2"/>
      <scheme val="minor"/>
    </font>
    <font>
      <b/>
      <sz val="16"/>
      <color rgb="FFC00000"/>
      <name val="Calibri"/>
      <family val="2"/>
      <scheme val="minor"/>
    </font>
    <font>
      <sz val="16"/>
      <color theme="0"/>
      <name val="Calibri"/>
      <family val="2"/>
      <scheme val="minor"/>
    </font>
    <font>
      <b/>
      <sz val="16"/>
      <name val="Calibri"/>
      <family val="2"/>
      <scheme val="minor"/>
    </font>
    <font>
      <b/>
      <sz val="20"/>
      <color rgb="FFFF3737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b/>
      <sz val="12"/>
      <color theme="1"/>
      <name val="Calibri"/>
      <family val="2"/>
      <scheme val="minor"/>
    </font>
  </fonts>
  <fills count="4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59999389629810485"/>
        <bgColor indexed="65"/>
      </patternFill>
    </fill>
    <fill>
      <patternFill patternType="solid">
        <fgColor rgb="FFFF0000"/>
        <bgColor indexed="64"/>
      </patternFill>
    </fill>
    <fill>
      <patternFill patternType="solid">
        <fgColor rgb="FFFF3737"/>
        <bgColor indexed="64"/>
      </patternFill>
    </fill>
    <fill>
      <patternFill patternType="solid">
        <fgColor rgb="FFFF8B8B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EB9C"/>
      </patternFill>
    </fill>
    <fill>
      <patternFill patternType="solid">
        <fgColor rgb="FFFFC7CE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C6EFCE"/>
      </patternFill>
    </fill>
    <fill>
      <patternFill patternType="solid">
        <fgColor theme="9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C8C8C8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0C0C0"/>
        <bgColor indexed="64"/>
      </patternFill>
    </fill>
  </fills>
  <borders count="9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FF0000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ck">
        <color rgb="FFFF0000"/>
      </left>
      <right/>
      <top/>
      <bottom/>
      <diagonal/>
    </border>
    <border>
      <left style="thick">
        <color rgb="FFFF0000"/>
      </left>
      <right style="thick">
        <color rgb="FFFF0000"/>
      </right>
      <top style="thick">
        <color rgb="FFFF0000"/>
      </top>
      <bottom style="thick">
        <color rgb="FFFF0000"/>
      </bottom>
      <diagonal/>
    </border>
    <border>
      <left style="thick">
        <color rgb="FFFF0000"/>
      </left>
      <right style="thick">
        <color rgb="FFFF0000"/>
      </right>
      <top/>
      <bottom style="thick">
        <color rgb="FFFF0000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medium">
        <color rgb="FFFF0000"/>
      </left>
      <right/>
      <top style="medium">
        <color rgb="FFFF0000"/>
      </top>
      <bottom style="medium">
        <color rgb="FFFF0000"/>
      </bottom>
      <diagonal/>
    </border>
    <border>
      <left/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medium">
        <color rgb="FFFF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rgb="FFFF0000"/>
      </top>
      <bottom style="medium">
        <color rgb="FFFF0000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 style="thick">
        <color rgb="FFFF0000"/>
      </right>
      <top/>
      <bottom/>
      <diagonal/>
    </border>
    <border>
      <left/>
      <right style="medium">
        <color rgb="FFFF0000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medium">
        <color rgb="FFFF0000"/>
      </left>
      <right style="thick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theme="1" tint="0.14999847407452621"/>
      </left>
      <right/>
      <top/>
      <bottom/>
      <diagonal/>
    </border>
    <border>
      <left style="thin">
        <color theme="0" tint="-0.249977111117893"/>
      </left>
      <right/>
      <top/>
      <bottom/>
      <diagonal/>
    </border>
    <border>
      <left style="thin">
        <color theme="4" tint="-0.24994659260841701"/>
      </left>
      <right style="thin">
        <color theme="4" tint="-0.24994659260841701"/>
      </right>
      <top style="medium">
        <color theme="4" tint="-0.24994659260841701"/>
      </top>
      <bottom style="thin">
        <color theme="4" tint="-0.24994659260841701"/>
      </bottom>
      <diagonal/>
    </border>
    <border>
      <left style="thin">
        <color theme="4" tint="-0.24994659260841701"/>
      </left>
      <right style="thin">
        <color theme="4" tint="-0.24994659260841701"/>
      </right>
      <top style="thin">
        <color theme="4" tint="-0.24994659260841701"/>
      </top>
      <bottom style="thin">
        <color theme="4" tint="-0.24994659260841701"/>
      </bottom>
      <diagonal/>
    </border>
    <border>
      <left/>
      <right/>
      <top style="thin">
        <color theme="4" tint="-0.24994659260841701"/>
      </top>
      <bottom style="medium">
        <color theme="4" tint="-0.24994659260841701"/>
      </bottom>
      <diagonal/>
    </border>
    <border>
      <left style="thin">
        <color theme="4" tint="-0.24994659260841701"/>
      </left>
      <right/>
      <top style="thin">
        <color theme="4" tint="-0.24994659260841701"/>
      </top>
      <bottom style="thin">
        <color theme="4" tint="-0.24994659260841701"/>
      </bottom>
      <diagonal/>
    </border>
    <border>
      <left/>
      <right style="thin">
        <color theme="4" tint="-0.24994659260841701"/>
      </right>
      <top style="thin">
        <color theme="4" tint="-0.24994659260841701"/>
      </top>
      <bottom style="thin">
        <color theme="4" tint="-0.24994659260841701"/>
      </bottom>
      <diagonal/>
    </border>
    <border>
      <left style="thin">
        <color theme="4" tint="-0.24994659260841701"/>
      </left>
      <right style="thin">
        <color theme="4" tint="-0.24994659260841701"/>
      </right>
      <top style="thin">
        <color theme="4" tint="-0.2499465926084170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-0.24994659260841701"/>
      </left>
      <right style="thin">
        <color theme="4" tint="-0.24994659260841701"/>
      </right>
      <top/>
      <bottom style="thin">
        <color theme="4" tint="-0.2499465926084170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/>
      <top style="medium">
        <color rgb="FFFF0000"/>
      </top>
      <bottom/>
      <diagonal/>
    </border>
    <border>
      <left/>
      <right style="thin">
        <color theme="0" tint="-0.249977111117893"/>
      </right>
      <top/>
      <bottom/>
      <diagonal/>
    </border>
    <border>
      <left style="thin">
        <color rgb="FF3F3F3F"/>
      </left>
      <right/>
      <top style="thin">
        <color rgb="FF3F3F3F"/>
      </top>
      <bottom style="thin">
        <color rgb="FF3F3F3F"/>
      </bottom>
      <diagonal/>
    </border>
    <border>
      <left/>
      <right/>
      <top style="thin">
        <color rgb="FF3F3F3F"/>
      </top>
      <bottom style="thin">
        <color rgb="FF3F3F3F"/>
      </bottom>
      <diagonal/>
    </border>
    <border>
      <left/>
      <right style="medium">
        <color rgb="FFFF0000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rgb="FFFF0000"/>
      </bottom>
      <diagonal/>
    </border>
    <border>
      <left style="thin">
        <color indexed="64"/>
      </left>
      <right style="thin">
        <color indexed="64"/>
      </right>
      <top style="medium">
        <color rgb="FFFF0000"/>
      </top>
      <bottom style="medium">
        <color rgb="FFFF0000"/>
      </bottom>
      <diagonal/>
    </border>
    <border>
      <left/>
      <right style="thin">
        <color indexed="64"/>
      </right>
      <top style="thin">
        <color theme="0" tint="-4.9989318521683403E-2"/>
      </top>
      <bottom/>
      <diagonal/>
    </border>
    <border>
      <left style="thin">
        <color theme="0" tint="-4.9989318521683403E-2"/>
      </left>
      <right style="thin">
        <color indexed="64"/>
      </right>
      <top style="thin">
        <color theme="0" tint="-4.9989318521683403E-2"/>
      </top>
      <bottom/>
      <diagonal/>
    </border>
    <border>
      <left style="thin">
        <color theme="0" tint="-4.9989318521683403E-2"/>
      </left>
      <right style="thin">
        <color indexed="64"/>
      </right>
      <top/>
      <bottom/>
      <diagonal/>
    </border>
    <border>
      <left/>
      <right/>
      <top style="thin">
        <color theme="0" tint="-4.9989318521683403E-2"/>
      </top>
      <bottom style="thin">
        <color theme="0" tint="-4.9989318521683403E-2"/>
      </bottom>
      <diagonal/>
    </border>
    <border>
      <left/>
      <right/>
      <top style="thin">
        <color theme="0" tint="-4.9989318521683403E-2"/>
      </top>
      <bottom/>
      <diagonal/>
    </border>
    <border>
      <left/>
      <right style="medium">
        <color rgb="FFFF0000"/>
      </right>
      <top style="thin">
        <color theme="0" tint="-4.9989318521683403E-2"/>
      </top>
      <bottom style="thin">
        <color theme="0" tint="-4.9989318521683403E-2"/>
      </bottom>
      <diagonal/>
    </border>
    <border>
      <left style="medium">
        <color rgb="FFFF0000"/>
      </left>
      <right style="thick">
        <color rgb="FFFF0000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ck">
        <color rgb="FFFF0000"/>
      </left>
      <right/>
      <top style="thin">
        <color theme="0" tint="-4.9989318521683403E-2"/>
      </top>
      <bottom style="thin">
        <color theme="0" tint="-4.9989318521683403E-2"/>
      </bottom>
      <diagonal/>
    </border>
    <border>
      <left style="medium">
        <color rgb="FFFF0000"/>
      </left>
      <right style="thin">
        <color indexed="64"/>
      </right>
      <top style="medium">
        <color rgb="FFFF0000"/>
      </top>
      <bottom style="medium">
        <color rgb="FFFF0000"/>
      </bottom>
      <diagonal/>
    </border>
    <border>
      <left/>
      <right style="thin">
        <color indexed="64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theme="0" tint="-4.9989318521683403E-2"/>
      </bottom>
      <diagonal/>
    </border>
    <border>
      <left style="medium">
        <color rgb="FFFF0000"/>
      </left>
      <right style="thin">
        <color indexed="64"/>
      </right>
      <top style="medium">
        <color rgb="FFFF0000"/>
      </top>
      <bottom style="thin">
        <color theme="0" tint="-4.9989318521683403E-2"/>
      </bottom>
      <diagonal/>
    </border>
    <border>
      <left/>
      <right style="thin">
        <color rgb="FF3F3F3F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indexed="64"/>
      </left>
      <right style="thin">
        <color theme="0" tint="-4.9989318521683403E-2"/>
      </right>
      <top style="thin">
        <color theme="0" tint="-4.9989318521683403E-2"/>
      </top>
      <bottom/>
      <diagonal/>
    </border>
    <border>
      <left style="thin">
        <color indexed="64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/>
      <right style="thin">
        <color theme="4" tint="-0.24994659260841701"/>
      </right>
      <top style="thin">
        <color theme="4" tint="-0.24994659260841701"/>
      </top>
      <bottom style="thin">
        <color indexed="64"/>
      </bottom>
      <diagonal/>
    </border>
    <border>
      <left style="thin">
        <color theme="4" tint="-0.24994659260841701"/>
      </left>
      <right/>
      <top style="thin">
        <color theme="4" tint="-0.24994659260841701"/>
      </top>
      <bottom style="thin">
        <color indexed="64"/>
      </bottom>
      <diagonal/>
    </border>
    <border>
      <left/>
      <right style="thin">
        <color theme="4" tint="-0.24994659260841701"/>
      </right>
      <top/>
      <bottom style="thin">
        <color theme="4" tint="-0.24994659260841701"/>
      </bottom>
      <diagonal/>
    </border>
    <border>
      <left style="thin">
        <color theme="4" tint="-0.24994659260841701"/>
      </left>
      <right/>
      <top/>
      <bottom style="thin">
        <color theme="4" tint="-0.24994659260841701"/>
      </bottom>
      <diagonal/>
    </border>
    <border>
      <left style="medium">
        <color theme="1" tint="0.249977111117893"/>
      </left>
      <right/>
      <top style="medium">
        <color theme="1" tint="0.249977111117893"/>
      </top>
      <bottom style="medium">
        <color theme="1" tint="0.249977111117893"/>
      </bottom>
      <diagonal/>
    </border>
    <border>
      <left/>
      <right/>
      <top style="medium">
        <color theme="1" tint="0.249977111117893"/>
      </top>
      <bottom style="medium">
        <color theme="1" tint="0.249977111117893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/>
      <diagonal/>
    </border>
    <border>
      <left style="medium">
        <color rgb="FFFF0000"/>
      </left>
      <right style="medium">
        <color rgb="FFFF0000"/>
      </right>
      <top/>
      <bottom style="medium">
        <color rgb="FFFF0000"/>
      </bottom>
      <diagonal/>
    </border>
    <border>
      <left style="medium">
        <color rgb="FFC00000"/>
      </left>
      <right style="medium">
        <color rgb="FFC00000"/>
      </right>
      <top style="medium">
        <color rgb="FFC00000"/>
      </top>
      <bottom style="medium">
        <color rgb="FFC00000"/>
      </bottom>
      <diagonal/>
    </border>
    <border>
      <left style="medium">
        <color rgb="FFC00000"/>
      </left>
      <right/>
      <top style="medium">
        <color rgb="FFC00000"/>
      </top>
      <bottom style="medium">
        <color rgb="FFC00000"/>
      </bottom>
      <diagonal/>
    </border>
    <border>
      <left/>
      <right/>
      <top style="medium">
        <color rgb="FFC00000"/>
      </top>
      <bottom style="medium">
        <color rgb="FFC00000"/>
      </bottom>
      <diagonal/>
    </border>
    <border>
      <left/>
      <right style="medium">
        <color rgb="FFC00000"/>
      </right>
      <top style="medium">
        <color rgb="FFC00000"/>
      </top>
      <bottom style="medium">
        <color rgb="FFC00000"/>
      </bottom>
      <diagonal/>
    </border>
    <border>
      <left style="medium">
        <color theme="1" tint="0.499984740745262"/>
      </left>
      <right style="medium">
        <color theme="1" tint="0.499984740745262"/>
      </right>
      <top style="medium">
        <color theme="1" tint="0.499984740745262"/>
      </top>
      <bottom style="medium">
        <color theme="1" tint="0.499984740745262"/>
      </bottom>
      <diagonal/>
    </border>
    <border>
      <left style="medium">
        <color theme="1" tint="0.499984740745262"/>
      </left>
      <right/>
      <top style="medium">
        <color theme="1" tint="0.499984740745262"/>
      </top>
      <bottom style="medium">
        <color theme="1" tint="0.499984740745262"/>
      </bottom>
      <diagonal/>
    </border>
    <border>
      <left/>
      <right style="medium">
        <color theme="1" tint="0.499984740745262"/>
      </right>
      <top style="medium">
        <color theme="1" tint="0.499984740745262"/>
      </top>
      <bottom style="medium">
        <color theme="1" tint="0.499984740745262"/>
      </bottom>
      <diagonal/>
    </border>
    <border>
      <left style="medium">
        <color rgb="FFFF3737"/>
      </left>
      <right style="medium">
        <color rgb="FFFF3737"/>
      </right>
      <top style="medium">
        <color rgb="FFFF3737"/>
      </top>
      <bottom style="medium">
        <color rgb="FFFF3737"/>
      </bottom>
      <diagonal/>
    </border>
    <border>
      <left style="medium">
        <color rgb="FFFF3737"/>
      </left>
      <right/>
      <top style="medium">
        <color rgb="FFFF3737"/>
      </top>
      <bottom/>
      <diagonal/>
    </border>
    <border>
      <left/>
      <right/>
      <top style="medium">
        <color rgb="FFFF3737"/>
      </top>
      <bottom/>
      <diagonal/>
    </border>
    <border>
      <left/>
      <right style="medium">
        <color rgb="FFFF3737"/>
      </right>
      <top style="medium">
        <color rgb="FFFF3737"/>
      </top>
      <bottom/>
      <diagonal/>
    </border>
    <border>
      <left style="medium">
        <color rgb="FFFF3737"/>
      </left>
      <right/>
      <top/>
      <bottom/>
      <diagonal/>
    </border>
    <border>
      <left/>
      <right style="medium">
        <color rgb="FFFF3737"/>
      </right>
      <top/>
      <bottom/>
      <diagonal/>
    </border>
    <border>
      <left style="medium">
        <color rgb="FFFF3737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-0.24994659260841701"/>
      </left>
      <right style="medium">
        <color rgb="FFFF3737"/>
      </right>
      <top style="thin">
        <color theme="4" tint="-0.24994659260841701"/>
      </top>
      <bottom style="thin">
        <color theme="4" tint="-0.24994659260841701"/>
      </bottom>
      <diagonal/>
    </border>
    <border>
      <left/>
      <right style="medium">
        <color rgb="FFFF3737"/>
      </right>
      <top style="thin">
        <color theme="4" tint="-0.24994659260841701"/>
      </top>
      <bottom style="thin">
        <color theme="4" tint="-0.24994659260841701"/>
      </bottom>
      <diagonal/>
    </border>
    <border>
      <left style="thin">
        <color indexed="64"/>
      </left>
      <right style="medium">
        <color rgb="FFFF3737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rgb="FFFF3737"/>
      </right>
      <top/>
      <bottom style="thin">
        <color indexed="64"/>
      </bottom>
      <diagonal/>
    </border>
    <border>
      <left style="medium">
        <color rgb="FFFF3737"/>
      </left>
      <right/>
      <top/>
      <bottom style="medium">
        <color rgb="FFFF3737"/>
      </bottom>
      <diagonal/>
    </border>
    <border>
      <left/>
      <right/>
      <top/>
      <bottom style="medium">
        <color rgb="FFFF3737"/>
      </bottom>
      <diagonal/>
    </border>
    <border>
      <left/>
      <right style="thin">
        <color theme="4" tint="-0.24994659260841701"/>
      </right>
      <top/>
      <bottom style="medium">
        <color rgb="FFFF3737"/>
      </bottom>
      <diagonal/>
    </border>
    <border>
      <left style="thin">
        <color theme="4" tint="-0.24994659260841701"/>
      </left>
      <right style="medium">
        <color rgb="FFFF3737"/>
      </right>
      <top style="thin">
        <color theme="4" tint="-0.24994659260841701"/>
      </top>
      <bottom style="medium">
        <color rgb="FFFF3737"/>
      </bottom>
      <diagonal/>
    </border>
    <border>
      <left style="medium">
        <color rgb="FFFF3737"/>
      </left>
      <right/>
      <top style="medium">
        <color rgb="FFFF3737"/>
      </top>
      <bottom style="medium">
        <color rgb="FFFF3737"/>
      </bottom>
      <diagonal/>
    </border>
    <border>
      <left/>
      <right/>
      <top style="medium">
        <color rgb="FFFF3737"/>
      </top>
      <bottom style="medium">
        <color rgb="FFFF3737"/>
      </bottom>
      <diagonal/>
    </border>
    <border>
      <left/>
      <right style="medium">
        <color rgb="FFFF3737"/>
      </right>
      <top style="medium">
        <color rgb="FFFF3737"/>
      </top>
      <bottom style="medium">
        <color rgb="FFFF3737"/>
      </bottom>
      <diagonal/>
    </border>
    <border>
      <left/>
      <right style="medium">
        <color rgb="FFFF3737"/>
      </right>
      <top/>
      <bottom style="medium">
        <color rgb="FFFF3737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/>
      <right/>
      <top/>
      <bottom style="thin">
        <color rgb="FF7F7F7F"/>
      </bottom>
      <diagonal/>
    </border>
    <border>
      <left/>
      <right/>
      <top style="thin">
        <color indexed="64"/>
      </top>
      <bottom style="thin">
        <color theme="0" tint="-4.9989318521683403E-2"/>
      </bottom>
      <diagonal/>
    </border>
    <border>
      <left style="thin">
        <color theme="4" tint="-0.24994659260841701"/>
      </left>
      <right/>
      <top style="medium">
        <color theme="4" tint="-0.24994659260841701"/>
      </top>
      <bottom style="thin">
        <color theme="4" tint="-0.24994659260841701"/>
      </bottom>
      <diagonal/>
    </border>
    <border>
      <left/>
      <right style="thin">
        <color theme="4" tint="-0.24994659260841701"/>
      </right>
      <top style="medium">
        <color theme="4" tint="-0.24994659260841701"/>
      </top>
      <bottom style="thin">
        <color theme="4" tint="-0.24994659260841701"/>
      </bottom>
      <diagonal/>
    </border>
    <border>
      <left/>
      <right/>
      <top/>
      <bottom style="thin">
        <color rgb="FF000000"/>
      </bottom>
      <diagonal/>
    </border>
  </borders>
  <cellStyleXfs count="39">
    <xf numFmtId="0" fontId="0" fillId="0" borderId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0" fontId="8" fillId="5" borderId="15" applyNumberFormat="0" applyAlignment="0" applyProtection="0"/>
    <xf numFmtId="0" fontId="1" fillId="0" borderId="9" applyBorder="0">
      <alignment horizontal="left" vertical="top" wrapText="1"/>
      <protection locked="0"/>
    </xf>
    <xf numFmtId="0" fontId="10" fillId="6" borderId="16" applyNumberFormat="0" applyAlignment="0" applyProtection="0"/>
    <xf numFmtId="0" fontId="7" fillId="7" borderId="0" applyNumberFormat="0" applyBorder="0" applyAlignment="0" applyProtection="0"/>
    <xf numFmtId="0" fontId="1" fillId="8" borderId="0" applyNumberFormat="0" applyBorder="0" applyAlignment="0" applyProtection="0"/>
    <xf numFmtId="0" fontId="1" fillId="9" borderId="0" applyNumberFormat="0" applyBorder="0" applyAlignment="0" applyProtection="0"/>
    <xf numFmtId="169" fontId="1" fillId="0" borderId="13"/>
    <xf numFmtId="0" fontId="7" fillId="10" borderId="0" applyNumberFormat="0" applyBorder="0" applyAlignment="0" applyProtection="0"/>
    <xf numFmtId="0" fontId="1" fillId="11" borderId="0" applyNumberFormat="0" applyBorder="0" applyAlignment="0" applyProtection="0"/>
    <xf numFmtId="0" fontId="11" fillId="13" borderId="0">
      <alignment horizontal="left"/>
    </xf>
    <xf numFmtId="0" fontId="2" fillId="14" borderId="0">
      <alignment horizontal="right"/>
    </xf>
    <xf numFmtId="0" fontId="29" fillId="0" borderId="0"/>
    <xf numFmtId="0" fontId="18" fillId="0" borderId="0" applyNumberFormat="0" applyFill="0" applyBorder="0" applyAlignment="0" applyProtection="0">
      <alignment vertical="top"/>
      <protection locked="0"/>
    </xf>
    <xf numFmtId="0" fontId="33" fillId="6" borderId="16">
      <alignment horizontal="left"/>
      <protection locked="0"/>
    </xf>
    <xf numFmtId="0" fontId="35" fillId="23" borderId="0" applyNumberFormat="0" applyBorder="0" applyAlignment="0" applyProtection="0"/>
    <xf numFmtId="0" fontId="36" fillId="24" borderId="0" applyNumberFormat="0" applyBorder="0" applyAlignment="0" applyProtection="0"/>
    <xf numFmtId="0" fontId="39" fillId="26" borderId="0" applyNumberFormat="0" applyBorder="0" applyAlignment="0" applyProtection="0"/>
    <xf numFmtId="0" fontId="7" fillId="27" borderId="0" applyNumberFormat="0" applyBorder="0" applyAlignment="0" applyProtection="0"/>
    <xf numFmtId="0" fontId="1" fillId="29" borderId="0" applyNumberFormat="0" applyBorder="0" applyAlignment="0" applyProtection="0"/>
    <xf numFmtId="0" fontId="41" fillId="0" borderId="0"/>
    <xf numFmtId="9" fontId="29" fillId="0" borderId="0" applyFont="0" applyFill="0" applyBorder="0" applyAlignment="0" applyProtection="0"/>
    <xf numFmtId="167" fontId="29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0" fontId="29" fillId="0" borderId="0"/>
    <xf numFmtId="167" fontId="29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0" fontId="29" fillId="0" borderId="0"/>
    <xf numFmtId="167" fontId="29" fillId="0" borderId="0" applyFont="0" applyFill="0" applyBorder="0" applyAlignment="0" applyProtection="0"/>
    <xf numFmtId="0" fontId="1" fillId="36" borderId="0" applyNumberFormat="0" applyBorder="0" applyAlignment="0" applyProtection="0"/>
    <xf numFmtId="0" fontId="9" fillId="2" borderId="8">
      <alignment horizontal="left" vertical="top" wrapText="1"/>
      <protection locked="0"/>
    </xf>
    <xf numFmtId="0" fontId="53" fillId="0" borderId="0" applyNumberFormat="0" applyFill="0" applyBorder="0" applyAlignment="0" applyProtection="0"/>
    <xf numFmtId="0" fontId="1" fillId="0" borderId="12">
      <alignment horizontal="left" vertical="top" wrapText="1"/>
      <protection locked="0"/>
    </xf>
    <xf numFmtId="0" fontId="5" fillId="0" borderId="12">
      <alignment horizontal="left" vertical="top" wrapText="1"/>
      <protection locked="0"/>
    </xf>
    <xf numFmtId="0" fontId="11" fillId="13" borderId="0">
      <alignment horizontal="center" vertical="center" textRotation="90"/>
    </xf>
  </cellStyleXfs>
  <cellXfs count="750">
    <xf numFmtId="0" fontId="0" fillId="0" borderId="0" xfId="0"/>
    <xf numFmtId="0" fontId="2" fillId="0" borderId="2" xfId="0" applyFont="1" applyBorder="1"/>
    <xf numFmtId="0" fontId="0" fillId="0" borderId="2" xfId="0" applyBorder="1"/>
    <xf numFmtId="0" fontId="2" fillId="0" borderId="0" xfId="0" applyFont="1"/>
    <xf numFmtId="0" fontId="2" fillId="0" borderId="2" xfId="0" applyFont="1" applyBorder="1" applyAlignment="1">
      <alignment horizontal="right"/>
    </xf>
    <xf numFmtId="0" fontId="2" fillId="4" borderId="2" xfId="0" applyFont="1" applyFill="1" applyBorder="1"/>
    <xf numFmtId="0" fontId="0" fillId="4" borderId="0" xfId="0" applyFill="1"/>
    <xf numFmtId="0" fontId="2" fillId="0" borderId="4" xfId="0" applyFont="1" applyBorder="1"/>
    <xf numFmtId="0" fontId="4" fillId="2" borderId="8" xfId="0" applyFont="1" applyFill="1" applyBorder="1" applyProtection="1">
      <protection locked="0"/>
    </xf>
    <xf numFmtId="169" fontId="0" fillId="0" borderId="0" xfId="1" applyNumberFormat="1" applyFont="1" applyProtection="1"/>
    <xf numFmtId="0" fontId="4" fillId="3" borderId="3" xfId="0" applyFont="1" applyFill="1" applyBorder="1" applyProtection="1">
      <protection locked="0"/>
    </xf>
    <xf numFmtId="0" fontId="8" fillId="5" borderId="15" xfId="3"/>
    <xf numFmtId="166" fontId="0" fillId="0" borderId="0" xfId="1" applyNumberFormat="1" applyFont="1"/>
    <xf numFmtId="166" fontId="0" fillId="0" borderId="0" xfId="0" applyNumberFormat="1"/>
    <xf numFmtId="0" fontId="7" fillId="0" borderId="0" xfId="0" applyFont="1"/>
    <xf numFmtId="9" fontId="0" fillId="0" borderId="0" xfId="0" applyNumberFormat="1" applyAlignment="1">
      <alignment horizontal="right"/>
    </xf>
    <xf numFmtId="9" fontId="0" fillId="0" borderId="0" xfId="0" applyNumberFormat="1" applyAlignment="1">
      <alignment horizontal="center"/>
    </xf>
    <xf numFmtId="0" fontId="0" fillId="0" borderId="8" xfId="0" applyBorder="1" applyProtection="1">
      <protection locked="0"/>
    </xf>
    <xf numFmtId="0" fontId="0" fillId="2" borderId="0" xfId="0" applyFill="1"/>
    <xf numFmtId="0" fontId="0" fillId="0" borderId="0" xfId="0" applyProtection="1">
      <protection locked="0"/>
    </xf>
    <xf numFmtId="0" fontId="0" fillId="3" borderId="4" xfId="0" applyFill="1" applyBorder="1"/>
    <xf numFmtId="169" fontId="0" fillId="0" borderId="0" xfId="0" applyNumberFormat="1"/>
    <xf numFmtId="0" fontId="0" fillId="3" borderId="0" xfId="0" applyFill="1" applyProtection="1">
      <protection locked="0"/>
    </xf>
    <xf numFmtId="169" fontId="1" fillId="11" borderId="0" xfId="11" applyNumberFormat="1" applyBorder="1"/>
    <xf numFmtId="0" fontId="7" fillId="12" borderId="0" xfId="0" applyFont="1" applyFill="1"/>
    <xf numFmtId="0" fontId="10" fillId="6" borderId="16" xfId="5" applyAlignment="1"/>
    <xf numFmtId="0" fontId="4" fillId="2" borderId="0" xfId="0" applyFont="1" applyFill="1"/>
    <xf numFmtId="49" fontId="0" fillId="2" borderId="0" xfId="0" applyNumberFormat="1" applyFill="1"/>
    <xf numFmtId="0" fontId="0" fillId="2" borderId="22" xfId="0" applyFill="1" applyBorder="1"/>
    <xf numFmtId="0" fontId="1" fillId="2" borderId="0" xfId="8" applyFill="1" applyAlignment="1">
      <alignment horizontal="left"/>
    </xf>
    <xf numFmtId="0" fontId="0" fillId="2" borderId="0" xfId="0" applyFill="1" applyAlignment="1">
      <alignment horizontal="right"/>
    </xf>
    <xf numFmtId="0" fontId="4" fillId="2" borderId="23" xfId="0" applyFont="1" applyFill="1" applyBorder="1"/>
    <xf numFmtId="0" fontId="0" fillId="2" borderId="23" xfId="0" applyFill="1" applyBorder="1"/>
    <xf numFmtId="0" fontId="10" fillId="6" borderId="16" xfId="5" applyAlignment="1" applyProtection="1">
      <protection locked="0"/>
    </xf>
    <xf numFmtId="9" fontId="0" fillId="0" borderId="0" xfId="0" applyNumberFormat="1" applyAlignment="1" applyProtection="1">
      <alignment horizontal="center"/>
      <protection locked="0"/>
    </xf>
    <xf numFmtId="165" fontId="0" fillId="0" borderId="0" xfId="0" applyNumberFormat="1" applyAlignment="1" applyProtection="1">
      <alignment horizontal="center"/>
      <protection locked="0"/>
    </xf>
    <xf numFmtId="165" fontId="0" fillId="0" borderId="0" xfId="0" applyNumberFormat="1" applyProtection="1">
      <protection locked="0"/>
    </xf>
    <xf numFmtId="0" fontId="7" fillId="7" borderId="0" xfId="6" applyAlignment="1" applyProtection="1">
      <alignment horizontal="center"/>
      <protection locked="0"/>
    </xf>
    <xf numFmtId="0" fontId="1" fillId="2" borderId="0" xfId="4" applyFill="1" applyBorder="1">
      <alignment horizontal="left" vertical="top" wrapText="1"/>
      <protection locked="0"/>
    </xf>
    <xf numFmtId="0" fontId="7" fillId="15" borderId="0" xfId="0" applyFont="1" applyFill="1"/>
    <xf numFmtId="0" fontId="0" fillId="15" borderId="0" xfId="0" applyFill="1"/>
    <xf numFmtId="0" fontId="12" fillId="15" borderId="0" xfId="0" applyFont="1" applyFill="1"/>
    <xf numFmtId="0" fontId="13" fillId="15" borderId="0" xfId="0" applyFont="1" applyFill="1"/>
    <xf numFmtId="167" fontId="7" fillId="15" borderId="0" xfId="2" applyFont="1" applyFill="1" applyAlignment="1">
      <alignment horizontal="center"/>
    </xf>
    <xf numFmtId="0" fontId="14" fillId="0" borderId="0" xfId="14" applyFont="1"/>
    <xf numFmtId="0" fontId="17" fillId="0" borderId="0" xfId="14" applyFont="1"/>
    <xf numFmtId="0" fontId="17" fillId="0" borderId="0" xfId="14" applyFont="1" applyAlignment="1">
      <alignment horizontal="right"/>
    </xf>
    <xf numFmtId="0" fontId="16" fillId="0" borderId="0" xfId="14" applyFont="1"/>
    <xf numFmtId="14" fontId="20" fillId="0" borderId="0" xfId="14" applyNumberFormat="1" applyFont="1" applyAlignment="1">
      <alignment horizontal="left" indent="1"/>
    </xf>
    <xf numFmtId="0" fontId="16" fillId="0" borderId="0" xfId="14" applyFont="1" applyAlignment="1">
      <alignment horizontal="right"/>
    </xf>
    <xf numFmtId="0" fontId="19" fillId="0" borderId="0" xfId="14" applyFont="1" applyAlignment="1" applyProtection="1">
      <alignment horizontal="left" wrapText="1" indent="1"/>
      <protection locked="0"/>
    </xf>
    <xf numFmtId="0" fontId="20" fillId="0" borderId="0" xfId="14" applyFont="1" applyAlignment="1" applyProtection="1">
      <alignment horizontal="right"/>
      <protection locked="0"/>
    </xf>
    <xf numFmtId="0" fontId="20" fillId="0" borderId="0" xfId="14" applyFont="1" applyAlignment="1" applyProtection="1">
      <alignment horizontal="left" indent="1"/>
      <protection locked="0"/>
    </xf>
    <xf numFmtId="0" fontId="16" fillId="0" borderId="0" xfId="14" applyFont="1" applyProtection="1">
      <protection locked="0"/>
    </xf>
    <xf numFmtId="0" fontId="19" fillId="18" borderId="24" xfId="14" applyFont="1" applyFill="1" applyBorder="1" applyAlignment="1">
      <alignment horizontal="center" vertical="center"/>
    </xf>
    <xf numFmtId="0" fontId="19" fillId="18" borderId="24" xfId="14" applyFont="1" applyFill="1" applyBorder="1" applyAlignment="1">
      <alignment horizontal="center" vertical="center" wrapText="1"/>
    </xf>
    <xf numFmtId="0" fontId="16" fillId="17" borderId="25" xfId="14" applyFont="1" applyFill="1" applyBorder="1" applyAlignment="1" applyProtection="1">
      <alignment horizontal="left" indent="1"/>
      <protection locked="0"/>
    </xf>
    <xf numFmtId="0" fontId="16" fillId="0" borderId="25" xfId="14" applyFont="1" applyBorder="1" applyAlignment="1" applyProtection="1">
      <alignment horizontal="left" indent="1"/>
      <protection locked="0"/>
    </xf>
    <xf numFmtId="172" fontId="16" fillId="0" borderId="25" xfId="14" applyNumberFormat="1" applyFont="1" applyBorder="1" applyAlignment="1" applyProtection="1">
      <alignment horizontal="left" indent="1"/>
      <protection locked="0"/>
    </xf>
    <xf numFmtId="172" fontId="19" fillId="18" borderId="24" xfId="14" applyNumberFormat="1" applyFont="1" applyFill="1" applyBorder="1" applyAlignment="1">
      <alignment horizontal="center" vertical="center"/>
    </xf>
    <xf numFmtId="2" fontId="16" fillId="17" borderId="25" xfId="14" applyNumberFormat="1" applyFont="1" applyFill="1" applyBorder="1" applyAlignment="1" applyProtection="1">
      <alignment horizontal="right" indent="1"/>
      <protection locked="0"/>
    </xf>
    <xf numFmtId="0" fontId="16" fillId="18" borderId="25" xfId="14" applyFont="1" applyFill="1" applyBorder="1" applyAlignment="1">
      <alignment horizontal="left" indent="1"/>
    </xf>
    <xf numFmtId="2" fontId="16" fillId="18" borderId="25" xfId="14" applyNumberFormat="1" applyFont="1" applyFill="1" applyBorder="1" applyAlignment="1">
      <alignment horizontal="right" indent="1"/>
    </xf>
    <xf numFmtId="0" fontId="16" fillId="17" borderId="25" xfId="14" applyFont="1" applyFill="1" applyBorder="1" applyAlignment="1">
      <alignment horizontal="left" indent="1"/>
    </xf>
    <xf numFmtId="2" fontId="16" fillId="17" borderId="25" xfId="14" applyNumberFormat="1" applyFont="1" applyFill="1" applyBorder="1" applyAlignment="1">
      <alignment horizontal="right" indent="1"/>
    </xf>
    <xf numFmtId="2" fontId="16" fillId="20" borderId="25" xfId="14" applyNumberFormat="1" applyFont="1" applyFill="1" applyBorder="1" applyAlignment="1">
      <alignment horizontal="right" indent="1"/>
    </xf>
    <xf numFmtId="2" fontId="16" fillId="20" borderId="25" xfId="14" applyNumberFormat="1" applyFont="1" applyFill="1" applyBorder="1" applyAlignment="1" applyProtection="1">
      <alignment horizontal="right" indent="1"/>
      <protection locked="0"/>
    </xf>
    <xf numFmtId="2" fontId="16" fillId="18" borderId="25" xfId="14" applyNumberFormat="1" applyFont="1" applyFill="1" applyBorder="1" applyAlignment="1" applyProtection="1">
      <alignment horizontal="right" indent="1"/>
      <protection locked="0"/>
    </xf>
    <xf numFmtId="0" fontId="23" fillId="18" borderId="25" xfId="14" applyFont="1" applyFill="1" applyBorder="1" applyAlignment="1">
      <alignment horizontal="left" indent="1"/>
    </xf>
    <xf numFmtId="0" fontId="20" fillId="18" borderId="27" xfId="14" applyFont="1" applyFill="1" applyBorder="1" applyAlignment="1">
      <alignment horizontal="center" wrapText="1"/>
    </xf>
    <xf numFmtId="0" fontId="20" fillId="18" borderId="28" xfId="14" applyFont="1" applyFill="1" applyBorder="1" applyAlignment="1">
      <alignment horizontal="center" wrapText="1"/>
    </xf>
    <xf numFmtId="0" fontId="20" fillId="20" borderId="25" xfId="14" applyFont="1" applyFill="1" applyBorder="1" applyAlignment="1" applyProtection="1">
      <alignment horizontal="left" indent="1"/>
      <protection locked="0"/>
    </xf>
    <xf numFmtId="2" fontId="14" fillId="0" borderId="0" xfId="14" applyNumberFormat="1" applyFont="1"/>
    <xf numFmtId="0" fontId="16" fillId="18" borderId="25" xfId="14" applyFont="1" applyFill="1" applyBorder="1" applyAlignment="1" applyProtection="1">
      <alignment horizontal="left" indent="1"/>
      <protection locked="0"/>
    </xf>
    <xf numFmtId="2" fontId="16" fillId="18" borderId="29" xfId="14" applyNumberFormat="1" applyFont="1" applyFill="1" applyBorder="1" applyAlignment="1" applyProtection="1">
      <alignment horizontal="right" indent="1"/>
      <protection locked="0"/>
    </xf>
    <xf numFmtId="2" fontId="16" fillId="2" borderId="0" xfId="14" applyNumberFormat="1" applyFont="1" applyFill="1" applyAlignment="1" applyProtection="1">
      <alignment horizontal="right" indent="1"/>
      <protection locked="0"/>
    </xf>
    <xf numFmtId="2" fontId="14" fillId="18" borderId="2" xfId="14" applyNumberFormat="1" applyFont="1" applyFill="1" applyBorder="1"/>
    <xf numFmtId="0" fontId="16" fillId="21" borderId="0" xfId="14" applyFont="1" applyFill="1"/>
    <xf numFmtId="10" fontId="16" fillId="17" borderId="32" xfId="14" applyNumberFormat="1" applyFont="1" applyFill="1" applyBorder="1" applyAlignment="1" applyProtection="1">
      <alignment horizontal="right" indent="1"/>
      <protection locked="0"/>
    </xf>
    <xf numFmtId="2" fontId="16" fillId="18" borderId="32" xfId="14" applyNumberFormat="1" applyFont="1" applyFill="1" applyBorder="1" applyAlignment="1">
      <alignment horizontal="right" indent="1"/>
    </xf>
    <xf numFmtId="0" fontId="19" fillId="0" borderId="0" xfId="14" applyFont="1" applyAlignment="1">
      <alignment horizontal="right"/>
    </xf>
    <xf numFmtId="0" fontId="19" fillId="21" borderId="0" xfId="14" applyFont="1" applyFill="1" applyAlignment="1">
      <alignment horizontal="right"/>
    </xf>
    <xf numFmtId="2" fontId="20" fillId="18" borderId="25" xfId="14" applyNumberFormat="1" applyFont="1" applyFill="1" applyBorder="1" applyAlignment="1">
      <alignment horizontal="right" indent="1"/>
    </xf>
    <xf numFmtId="0" fontId="20" fillId="21" borderId="0" xfId="14" applyFont="1" applyFill="1" applyAlignment="1">
      <alignment vertical="center"/>
    </xf>
    <xf numFmtId="0" fontId="20" fillId="0" borderId="0" xfId="14" applyFont="1" applyAlignment="1">
      <alignment horizontal="right"/>
    </xf>
    <xf numFmtId="167" fontId="16" fillId="21" borderId="0" xfId="14" applyNumberFormat="1" applyFont="1" applyFill="1"/>
    <xf numFmtId="169" fontId="16" fillId="21" borderId="0" xfId="14" applyNumberFormat="1" applyFont="1" applyFill="1"/>
    <xf numFmtId="167" fontId="24" fillId="21" borderId="0" xfId="14" applyNumberFormat="1" applyFont="1" applyFill="1"/>
    <xf numFmtId="0" fontId="14" fillId="0" borderId="0" xfId="14" applyFont="1" applyProtection="1">
      <protection locked="0"/>
    </xf>
    <xf numFmtId="2" fontId="16" fillId="21" borderId="0" xfId="14" applyNumberFormat="1" applyFont="1" applyFill="1"/>
    <xf numFmtId="0" fontId="26" fillId="0" borderId="0" xfId="14" applyFont="1" applyAlignment="1">
      <alignment horizontal="center"/>
    </xf>
    <xf numFmtId="0" fontId="27" fillId="0" borderId="0" xfId="14" applyFont="1" applyAlignment="1">
      <alignment horizontal="center"/>
    </xf>
    <xf numFmtId="0" fontId="25" fillId="0" borderId="0" xfId="14" applyFont="1" applyAlignment="1">
      <alignment horizontal="center"/>
    </xf>
    <xf numFmtId="0" fontId="15" fillId="21" borderId="0" xfId="14" applyFont="1" applyFill="1"/>
    <xf numFmtId="0" fontId="28" fillId="0" borderId="0" xfId="14" applyFont="1" applyAlignment="1">
      <alignment horizontal="center"/>
    </xf>
    <xf numFmtId="0" fontId="13" fillId="2" borderId="0" xfId="0" applyFont="1" applyFill="1" applyAlignment="1">
      <alignment horizontal="center" vertical="center"/>
    </xf>
    <xf numFmtId="173" fontId="0" fillId="2" borderId="0" xfId="0" applyNumberFormat="1" applyFill="1"/>
    <xf numFmtId="173" fontId="0" fillId="2" borderId="33" xfId="0" applyNumberFormat="1" applyFill="1" applyBorder="1"/>
    <xf numFmtId="173" fontId="0" fillId="2" borderId="34" xfId="0" applyNumberFormat="1" applyFill="1" applyBorder="1"/>
    <xf numFmtId="173" fontId="0" fillId="2" borderId="35" xfId="0" applyNumberFormat="1" applyFill="1" applyBorder="1"/>
    <xf numFmtId="0" fontId="1" fillId="8" borderId="0" xfId="7" applyBorder="1"/>
    <xf numFmtId="0" fontId="35" fillId="23" borderId="0" xfId="17"/>
    <xf numFmtId="10" fontId="0" fillId="2" borderId="0" xfId="0" applyNumberFormat="1" applyFill="1"/>
    <xf numFmtId="1" fontId="0" fillId="0" borderId="0" xfId="0" applyNumberFormat="1"/>
    <xf numFmtId="9" fontId="1" fillId="0" borderId="21" xfId="4" applyNumberFormat="1" applyBorder="1" applyAlignment="1">
      <protection locked="0"/>
    </xf>
    <xf numFmtId="169" fontId="0" fillId="0" borderId="0" xfId="0" applyNumberFormat="1" applyAlignment="1">
      <alignment horizontal="center" vertical="center"/>
    </xf>
    <xf numFmtId="0" fontId="0" fillId="16" borderId="0" xfId="0" applyFill="1"/>
    <xf numFmtId="169" fontId="0" fillId="16" borderId="0" xfId="0" applyNumberFormat="1" applyFill="1"/>
    <xf numFmtId="0" fontId="2" fillId="16" borderId="0" xfId="0" applyFont="1" applyFill="1" applyAlignment="1">
      <alignment horizontal="center"/>
    </xf>
    <xf numFmtId="0" fontId="0" fillId="16" borderId="0" xfId="0" applyFill="1" applyProtection="1">
      <protection locked="0"/>
    </xf>
    <xf numFmtId="169" fontId="9" fillId="16" borderId="0" xfId="0" applyNumberFormat="1" applyFont="1" applyFill="1"/>
    <xf numFmtId="0" fontId="38" fillId="13" borderId="41" xfId="0" applyFont="1" applyFill="1" applyBorder="1"/>
    <xf numFmtId="0" fontId="38" fillId="13" borderId="0" xfId="17" applyFont="1" applyFill="1"/>
    <xf numFmtId="0" fontId="0" fillId="25" borderId="0" xfId="0" applyFill="1"/>
    <xf numFmtId="0" fontId="0" fillId="25" borderId="37" xfId="0" applyFill="1" applyBorder="1"/>
    <xf numFmtId="0" fontId="2" fillId="25" borderId="0" xfId="7" applyFont="1" applyFill="1" applyAlignment="1" applyProtection="1">
      <alignment horizontal="right"/>
    </xf>
    <xf numFmtId="0" fontId="4" fillId="0" borderId="41" xfId="0" applyFont="1" applyBorder="1" applyAlignment="1">
      <alignment horizontal="right"/>
    </xf>
    <xf numFmtId="0" fontId="4" fillId="0" borderId="41" xfId="0" applyFont="1" applyBorder="1"/>
    <xf numFmtId="0" fontId="2" fillId="2" borderId="0" xfId="0" applyFont="1" applyFill="1"/>
    <xf numFmtId="0" fontId="5" fillId="2" borderId="0" xfId="0" applyFont="1" applyFill="1"/>
    <xf numFmtId="0" fontId="5" fillId="2" borderId="0" xfId="0" applyFont="1" applyFill="1" applyAlignment="1">
      <alignment horizontal="right"/>
    </xf>
    <xf numFmtId="0" fontId="0" fillId="2" borderId="0" xfId="0" applyFill="1" applyAlignment="1" applyProtection="1">
      <alignment horizontal="center"/>
      <protection locked="0"/>
    </xf>
    <xf numFmtId="0" fontId="0" fillId="2" borderId="6" xfId="0" applyFill="1" applyBorder="1" applyProtection="1">
      <protection locked="0"/>
    </xf>
    <xf numFmtId="0" fontId="0" fillId="2" borderId="5" xfId="0" applyFill="1" applyBorder="1"/>
    <xf numFmtId="0" fontId="0" fillId="2" borderId="7" xfId="0" applyFill="1" applyBorder="1" applyProtection="1">
      <protection locked="0"/>
    </xf>
    <xf numFmtId="0" fontId="0" fillId="2" borderId="8" xfId="0" applyFill="1" applyBorder="1" applyProtection="1">
      <protection locked="0"/>
    </xf>
    <xf numFmtId="0" fontId="0" fillId="2" borderId="13" xfId="0" applyFill="1" applyBorder="1"/>
    <xf numFmtId="169" fontId="1" fillId="2" borderId="13" xfId="9" applyFill="1" applyProtection="1">
      <protection locked="0"/>
    </xf>
    <xf numFmtId="0" fontId="36" fillId="24" borderId="0" xfId="18" applyAlignment="1">
      <alignment horizontal="center" vertical="center"/>
    </xf>
    <xf numFmtId="0" fontId="0" fillId="2" borderId="0" xfId="0" applyFill="1" applyAlignment="1" applyProtection="1">
      <alignment horizontal="right"/>
      <protection locked="0"/>
    </xf>
    <xf numFmtId="169" fontId="0" fillId="16" borderId="1" xfId="0" applyNumberFormat="1" applyFill="1" applyBorder="1"/>
    <xf numFmtId="0" fontId="0" fillId="16" borderId="1" xfId="0" applyFill="1" applyBorder="1"/>
    <xf numFmtId="10" fontId="11" fillId="7" borderId="0" xfId="6" applyNumberFormat="1" applyFont="1" applyAlignment="1">
      <alignment horizontal="center" vertical="center"/>
    </xf>
    <xf numFmtId="0" fontId="36" fillId="24" borderId="4" xfId="18" applyBorder="1" applyProtection="1"/>
    <xf numFmtId="0" fontId="36" fillId="24" borderId="43" xfId="18" applyBorder="1" applyProtection="1"/>
    <xf numFmtId="0" fontId="36" fillId="24" borderId="4" xfId="18" applyBorder="1"/>
    <xf numFmtId="9" fontId="0" fillId="16" borderId="4" xfId="0" applyNumberFormat="1" applyFill="1" applyBorder="1" applyAlignment="1">
      <alignment horizontal="right"/>
    </xf>
    <xf numFmtId="165" fontId="0" fillId="16" borderId="4" xfId="0" applyNumberFormat="1" applyFill="1" applyBorder="1" applyAlignment="1">
      <alignment horizontal="right"/>
    </xf>
    <xf numFmtId="170" fontId="1" fillId="16" borderId="4" xfId="4" applyNumberFormat="1" applyFill="1" applyBorder="1" applyAlignment="1">
      <protection locked="0"/>
    </xf>
    <xf numFmtId="166" fontId="0" fillId="16" borderId="4" xfId="0" applyNumberFormat="1" applyFill="1" applyBorder="1" applyAlignment="1">
      <alignment horizontal="right"/>
    </xf>
    <xf numFmtId="0" fontId="0" fillId="16" borderId="4" xfId="0" applyFill="1" applyBorder="1" applyAlignment="1" applyProtection="1">
      <alignment horizontal="right"/>
      <protection locked="0"/>
    </xf>
    <xf numFmtId="0" fontId="0" fillId="16" borderId="4" xfId="0" applyFill="1" applyBorder="1" applyAlignment="1">
      <alignment horizontal="right"/>
    </xf>
    <xf numFmtId="0" fontId="0" fillId="12" borderId="0" xfId="0" applyFill="1"/>
    <xf numFmtId="0" fontId="0" fillId="2" borderId="45" xfId="0" applyFill="1" applyBorder="1"/>
    <xf numFmtId="0" fontId="0" fillId="2" borderId="46" xfId="0" applyFill="1" applyBorder="1"/>
    <xf numFmtId="0" fontId="3" fillId="2" borderId="0" xfId="0" applyFont="1" applyFill="1" applyAlignment="1">
      <alignment horizontal="right"/>
    </xf>
    <xf numFmtId="165" fontId="0" fillId="2" borderId="48" xfId="0" applyNumberFormat="1" applyFill="1" applyBorder="1"/>
    <xf numFmtId="0" fontId="0" fillId="2" borderId="48" xfId="0" applyFill="1" applyBorder="1"/>
    <xf numFmtId="169" fontId="0" fillId="2" borderId="48" xfId="0" applyNumberFormat="1" applyFill="1" applyBorder="1"/>
    <xf numFmtId="0" fontId="0" fillId="2" borderId="48" xfId="0" applyFill="1" applyBorder="1" applyAlignment="1">
      <alignment horizontal="right"/>
    </xf>
    <xf numFmtId="9" fontId="0" fillId="2" borderId="50" xfId="4" applyNumberFormat="1" applyFont="1" applyFill="1" applyBorder="1" applyAlignment="1">
      <alignment horizontal="right"/>
      <protection locked="0"/>
    </xf>
    <xf numFmtId="0" fontId="0" fillId="2" borderId="47" xfId="0" applyFill="1" applyBorder="1"/>
    <xf numFmtId="0" fontId="0" fillId="2" borderId="51" xfId="0" applyFill="1" applyBorder="1"/>
    <xf numFmtId="169" fontId="0" fillId="2" borderId="47" xfId="0" applyNumberFormat="1" applyFill="1" applyBorder="1"/>
    <xf numFmtId="0" fontId="0" fillId="0" borderId="48" xfId="0" applyBorder="1"/>
    <xf numFmtId="0" fontId="0" fillId="2" borderId="47" xfId="0" applyFill="1" applyBorder="1" applyAlignment="1">
      <alignment horizontal="right"/>
    </xf>
    <xf numFmtId="165" fontId="0" fillId="2" borderId="47" xfId="0" applyNumberFormat="1" applyFill="1" applyBorder="1"/>
    <xf numFmtId="169" fontId="9" fillId="16" borderId="48" xfId="0" applyNumberFormat="1" applyFont="1" applyFill="1" applyBorder="1"/>
    <xf numFmtId="0" fontId="2" fillId="16" borderId="48" xfId="0" applyFont="1" applyFill="1" applyBorder="1" applyAlignment="1">
      <alignment horizontal="center"/>
    </xf>
    <xf numFmtId="0" fontId="0" fillId="16" borderId="48" xfId="0" applyFill="1" applyBorder="1"/>
    <xf numFmtId="0" fontId="33" fillId="16" borderId="16" xfId="5" applyFont="1" applyFill="1" applyAlignment="1" applyProtection="1">
      <alignment horizontal="left"/>
      <protection locked="0"/>
    </xf>
    <xf numFmtId="0" fontId="0" fillId="2" borderId="52" xfId="4" applyFont="1" applyFill="1" applyBorder="1" applyAlignment="1">
      <protection locked="0"/>
    </xf>
    <xf numFmtId="0" fontId="33" fillId="16" borderId="16" xfId="16" applyFill="1">
      <alignment horizontal="left"/>
      <protection locked="0"/>
    </xf>
    <xf numFmtId="0" fontId="33" fillId="16" borderId="54" xfId="16" applyFill="1" applyBorder="1">
      <alignment horizontal="left"/>
      <protection locked="0"/>
    </xf>
    <xf numFmtId="0" fontId="0" fillId="2" borderId="55" xfId="4" applyFont="1" applyFill="1" applyBorder="1" applyAlignment="1">
      <protection locked="0"/>
    </xf>
    <xf numFmtId="0" fontId="0" fillId="2" borderId="56" xfId="0" applyFill="1" applyBorder="1" applyAlignment="1">
      <alignment horizontal="left"/>
    </xf>
    <xf numFmtId="0" fontId="0" fillId="2" borderId="56" xfId="0" applyFill="1" applyBorder="1"/>
    <xf numFmtId="12" fontId="0" fillId="2" borderId="56" xfId="0" applyNumberFormat="1" applyFill="1" applyBorder="1"/>
    <xf numFmtId="169" fontId="0" fillId="2" borderId="57" xfId="0" applyNumberFormat="1" applyFill="1" applyBorder="1"/>
    <xf numFmtId="169" fontId="0" fillId="2" borderId="58" xfId="0" applyNumberFormat="1" applyFill="1" applyBorder="1"/>
    <xf numFmtId="0" fontId="2" fillId="2" borderId="0" xfId="0" applyFont="1" applyFill="1" applyAlignment="1">
      <alignment horizontal="center"/>
    </xf>
    <xf numFmtId="0" fontId="38" fillId="13" borderId="0" xfId="0" applyFont="1" applyFill="1"/>
    <xf numFmtId="169" fontId="38" fillId="13" borderId="0" xfId="0" applyNumberFormat="1" applyFont="1" applyFill="1"/>
    <xf numFmtId="169" fontId="40" fillId="13" borderId="41" xfId="0" applyNumberFormat="1" applyFont="1" applyFill="1" applyBorder="1"/>
    <xf numFmtId="0" fontId="0" fillId="28" borderId="0" xfId="0" applyFill="1"/>
    <xf numFmtId="0" fontId="7" fillId="28" borderId="0" xfId="0" applyFont="1" applyFill="1"/>
    <xf numFmtId="0" fontId="11" fillId="28" borderId="0" xfId="0" applyFont="1" applyFill="1" applyAlignment="1">
      <alignment horizontal="right"/>
    </xf>
    <xf numFmtId="0" fontId="11" fillId="28" borderId="0" xfId="0" applyFont="1" applyFill="1"/>
    <xf numFmtId="0" fontId="11" fillId="28" borderId="0" xfId="12" applyFill="1">
      <alignment horizontal="left"/>
    </xf>
    <xf numFmtId="0" fontId="7" fillId="12" borderId="0" xfId="10" applyFill="1"/>
    <xf numFmtId="0" fontId="0" fillId="12" borderId="0" xfId="0" applyFill="1" applyAlignment="1" applyProtection="1">
      <alignment horizontal="right"/>
      <protection locked="0"/>
    </xf>
    <xf numFmtId="0" fontId="0" fillId="12" borderId="0" xfId="0" applyFill="1" applyAlignment="1">
      <alignment horizontal="left"/>
    </xf>
    <xf numFmtId="0" fontId="0" fillId="12" borderId="0" xfId="0" applyFill="1" applyAlignment="1">
      <alignment horizontal="right"/>
    </xf>
    <xf numFmtId="0" fontId="0" fillId="12" borderId="0" xfId="0" applyFill="1" applyProtection="1">
      <protection locked="0"/>
    </xf>
    <xf numFmtId="169" fontId="7" fillId="12" borderId="0" xfId="0" applyNumberFormat="1" applyFont="1" applyFill="1"/>
    <xf numFmtId="169" fontId="11" fillId="12" borderId="0" xfId="5" applyNumberFormat="1" applyFont="1" applyFill="1" applyBorder="1" applyProtection="1"/>
    <xf numFmtId="0" fontId="7" fillId="28" borderId="0" xfId="0" applyFont="1" applyFill="1" applyAlignment="1">
      <alignment horizontal="right"/>
    </xf>
    <xf numFmtId="0" fontId="34" fillId="28" borderId="0" xfId="0" applyFont="1" applyFill="1" applyAlignment="1">
      <alignment horizontal="left"/>
    </xf>
    <xf numFmtId="0" fontId="39" fillId="26" borderId="0" xfId="19" applyAlignment="1"/>
    <xf numFmtId="169" fontId="39" fillId="26" borderId="36" xfId="19" applyNumberFormat="1" applyBorder="1" applyAlignment="1" applyProtection="1">
      <alignment vertical="center"/>
    </xf>
    <xf numFmtId="0" fontId="39" fillId="26" borderId="0" xfId="19"/>
    <xf numFmtId="169" fontId="39" fillId="26" borderId="0" xfId="19" applyNumberFormat="1" applyBorder="1" applyAlignment="1" applyProtection="1">
      <alignment vertical="center"/>
    </xf>
    <xf numFmtId="0" fontId="39" fillId="26" borderId="0" xfId="19" applyAlignment="1">
      <alignment horizontal="right"/>
    </xf>
    <xf numFmtId="0" fontId="29" fillId="0" borderId="0" xfId="14"/>
    <xf numFmtId="0" fontId="38" fillId="2" borderId="0" xfId="0" applyFont="1" applyFill="1"/>
    <xf numFmtId="0" fontId="7" fillId="23" borderId="0" xfId="17" applyFont="1"/>
    <xf numFmtId="169" fontId="9" fillId="16" borderId="48" xfId="0" applyNumberFormat="1" applyFont="1" applyFill="1" applyBorder="1" applyAlignment="1">
      <alignment horizontal="right"/>
    </xf>
    <xf numFmtId="0" fontId="1" fillId="29" borderId="0" xfId="21"/>
    <xf numFmtId="164" fontId="1" fillId="29" borderId="0" xfId="21" applyNumberFormat="1" applyAlignment="1">
      <alignment horizontal="right"/>
    </xf>
    <xf numFmtId="10" fontId="39" fillId="26" borderId="0" xfId="19" applyNumberFormat="1"/>
    <xf numFmtId="0" fontId="28" fillId="0" borderId="0" xfId="22" applyFont="1" applyAlignment="1">
      <alignment horizontal="center"/>
    </xf>
    <xf numFmtId="0" fontId="27" fillId="0" borderId="0" xfId="22" applyFont="1" applyAlignment="1">
      <alignment horizontal="center"/>
    </xf>
    <xf numFmtId="0" fontId="26" fillId="0" borderId="0" xfId="22" applyFont="1" applyAlignment="1">
      <alignment horizontal="center"/>
    </xf>
    <xf numFmtId="0" fontId="16" fillId="21" borderId="0" xfId="22" applyFont="1" applyFill="1"/>
    <xf numFmtId="0" fontId="15" fillId="21" borderId="0" xfId="22" applyFont="1" applyFill="1"/>
    <xf numFmtId="167" fontId="24" fillId="21" borderId="0" xfId="22" applyNumberFormat="1" applyFont="1" applyFill="1"/>
    <xf numFmtId="0" fontId="20" fillId="0" borderId="0" xfId="22" applyFont="1" applyAlignment="1">
      <alignment horizontal="right"/>
    </xf>
    <xf numFmtId="169" fontId="16" fillId="21" borderId="0" xfId="22" applyNumberFormat="1" applyFont="1" applyFill="1"/>
    <xf numFmtId="167" fontId="16" fillId="21" borderId="0" xfId="22" applyNumberFormat="1" applyFont="1" applyFill="1"/>
    <xf numFmtId="0" fontId="20" fillId="21" borderId="0" xfId="22" applyFont="1" applyFill="1" applyAlignment="1">
      <alignment vertical="center"/>
    </xf>
    <xf numFmtId="167" fontId="20" fillId="18" borderId="25" xfId="22" applyNumberFormat="1" applyFont="1" applyFill="1" applyBorder="1" applyAlignment="1">
      <alignment horizontal="right" indent="1"/>
    </xf>
    <xf numFmtId="168" fontId="16" fillId="0" borderId="25" xfId="22" applyNumberFormat="1" applyFont="1" applyBorder="1" applyAlignment="1">
      <alignment horizontal="right" indent="1"/>
    </xf>
    <xf numFmtId="0" fontId="19" fillId="21" borderId="0" xfId="22" applyFont="1" applyFill="1" applyAlignment="1">
      <alignment horizontal="right"/>
    </xf>
    <xf numFmtId="2" fontId="16" fillId="18" borderId="25" xfId="22" applyNumberFormat="1" applyFont="1" applyFill="1" applyBorder="1" applyAlignment="1">
      <alignment horizontal="right" indent="1"/>
    </xf>
    <xf numFmtId="2" fontId="16" fillId="21" borderId="25" xfId="22" applyNumberFormat="1" applyFont="1" applyFill="1" applyBorder="1" applyAlignment="1">
      <alignment horizontal="right" indent="1"/>
    </xf>
    <xf numFmtId="9" fontId="16" fillId="17" borderId="25" xfId="23" applyFont="1" applyFill="1" applyBorder="1" applyAlignment="1" applyProtection="1">
      <alignment horizontal="right" indent="1"/>
      <protection locked="0"/>
    </xf>
    <xf numFmtId="2" fontId="16" fillId="21" borderId="0" xfId="22" applyNumberFormat="1" applyFont="1" applyFill="1"/>
    <xf numFmtId="2" fontId="16" fillId="0" borderId="25" xfId="22" applyNumberFormat="1" applyFont="1" applyBorder="1" applyAlignment="1">
      <alignment horizontal="right" indent="1"/>
    </xf>
    <xf numFmtId="167" fontId="16" fillId="0" borderId="25" xfId="22" applyNumberFormat="1" applyFont="1" applyBorder="1" applyAlignment="1" applyProtection="1">
      <alignment horizontal="right" indent="1"/>
      <protection locked="0"/>
    </xf>
    <xf numFmtId="168" fontId="16" fillId="0" borderId="25" xfId="22" applyNumberFormat="1" applyFont="1" applyBorder="1" applyAlignment="1" applyProtection="1">
      <alignment horizontal="right" indent="1"/>
      <protection locked="0"/>
    </xf>
    <xf numFmtId="0" fontId="16" fillId="0" borderId="25" xfId="22" applyFont="1" applyBorder="1" applyAlignment="1" applyProtection="1">
      <alignment horizontal="left" indent="1"/>
      <protection locked="0"/>
    </xf>
    <xf numFmtId="2" fontId="16" fillId="0" borderId="25" xfId="22" applyNumberFormat="1" applyFont="1" applyBorder="1" applyAlignment="1" applyProtection="1">
      <alignment horizontal="right" indent="1"/>
      <protection locked="0"/>
    </xf>
    <xf numFmtId="2" fontId="16" fillId="17" borderId="25" xfId="22" applyNumberFormat="1" applyFont="1" applyFill="1" applyBorder="1" applyAlignment="1" applyProtection="1">
      <alignment horizontal="right" indent="1"/>
      <protection locked="0"/>
    </xf>
    <xf numFmtId="0" fontId="16" fillId="0" borderId="25" xfId="22" applyFont="1" applyBorder="1" applyAlignment="1">
      <alignment horizontal="left" indent="1"/>
    </xf>
    <xf numFmtId="2" fontId="16" fillId="25" borderId="25" xfId="22" applyNumberFormat="1" applyFont="1" applyFill="1" applyBorder="1" applyAlignment="1">
      <alignment horizontal="right" indent="1"/>
    </xf>
    <xf numFmtId="168" fontId="16" fillId="18" borderId="25" xfId="22" applyNumberFormat="1" applyFont="1" applyFill="1" applyBorder="1" applyAlignment="1">
      <alignment horizontal="right" indent="1"/>
    </xf>
    <xf numFmtId="2" fontId="16" fillId="20" borderId="25" xfId="22" applyNumberFormat="1" applyFont="1" applyFill="1" applyBorder="1" applyAlignment="1">
      <alignment horizontal="right" indent="1"/>
    </xf>
    <xf numFmtId="167" fontId="16" fillId="18" borderId="25" xfId="22" applyNumberFormat="1" applyFont="1" applyFill="1" applyBorder="1" applyAlignment="1">
      <alignment horizontal="right" indent="1"/>
    </xf>
    <xf numFmtId="172" fontId="19" fillId="18" borderId="24" xfId="22" applyNumberFormat="1" applyFont="1" applyFill="1" applyBorder="1" applyAlignment="1" applyProtection="1">
      <alignment horizontal="center" vertical="center"/>
      <protection locked="0"/>
    </xf>
    <xf numFmtId="172" fontId="16" fillId="0" borderId="25" xfId="22" applyNumberFormat="1" applyFont="1" applyBorder="1" applyAlignment="1" applyProtection="1">
      <alignment horizontal="left" indent="1"/>
      <protection locked="0"/>
    </xf>
    <xf numFmtId="0" fontId="16" fillId="17" borderId="25" xfId="22" applyFont="1" applyFill="1" applyBorder="1" applyAlignment="1" applyProtection="1">
      <alignment horizontal="left" indent="1"/>
      <protection locked="0"/>
    </xf>
    <xf numFmtId="0" fontId="19" fillId="18" borderId="24" xfId="22" applyFont="1" applyFill="1" applyBorder="1" applyAlignment="1" applyProtection="1">
      <alignment horizontal="center" vertical="center" wrapText="1"/>
      <protection locked="0"/>
    </xf>
    <xf numFmtId="0" fontId="20" fillId="0" borderId="0" xfId="22" applyFont="1" applyAlignment="1" applyProtection="1">
      <alignment horizontal="left" indent="1"/>
      <protection locked="0"/>
    </xf>
    <xf numFmtId="0" fontId="20" fillId="0" borderId="0" xfId="22" applyFont="1" applyAlignment="1" applyProtection="1">
      <alignment horizontal="right"/>
      <protection locked="0"/>
    </xf>
    <xf numFmtId="0" fontId="19" fillId="0" borderId="0" xfId="22" applyFont="1" applyAlignment="1" applyProtection="1">
      <alignment horizontal="left" wrapText="1" indent="1"/>
      <protection locked="0"/>
    </xf>
    <xf numFmtId="0" fontId="16" fillId="0" borderId="0" xfId="22" applyFont="1" applyAlignment="1">
      <alignment horizontal="right"/>
    </xf>
    <xf numFmtId="14" fontId="20" fillId="0" borderId="0" xfId="22" applyNumberFormat="1" applyFont="1" applyAlignment="1">
      <alignment horizontal="left" indent="1"/>
    </xf>
    <xf numFmtId="0" fontId="17" fillId="0" borderId="0" xfId="22" applyFont="1"/>
    <xf numFmtId="2" fontId="16" fillId="21" borderId="32" xfId="22" applyNumberFormat="1" applyFont="1" applyFill="1" applyBorder="1" applyAlignment="1" applyProtection="1">
      <alignment horizontal="right" indent="1"/>
      <protection locked="0"/>
    </xf>
    <xf numFmtId="9" fontId="16" fillId="17" borderId="32" xfId="23" applyFont="1" applyFill="1" applyBorder="1" applyAlignment="1" applyProtection="1">
      <alignment horizontal="right" indent="1"/>
      <protection locked="0"/>
    </xf>
    <xf numFmtId="2" fontId="14" fillId="0" borderId="2" xfId="22" applyNumberFormat="1" applyFont="1" applyBorder="1"/>
    <xf numFmtId="2" fontId="16" fillId="18" borderId="29" xfId="22" applyNumberFormat="1" applyFont="1" applyFill="1" applyBorder="1" applyAlignment="1">
      <alignment horizontal="right" indent="1"/>
    </xf>
    <xf numFmtId="167" fontId="16" fillId="0" borderId="29" xfId="22" applyNumberFormat="1" applyFont="1" applyBorder="1" applyAlignment="1" applyProtection="1">
      <alignment horizontal="right" indent="1"/>
      <protection locked="0"/>
    </xf>
    <xf numFmtId="168" fontId="16" fillId="0" borderId="29" xfId="22" applyNumberFormat="1" applyFont="1" applyBorder="1" applyAlignment="1" applyProtection="1">
      <alignment horizontal="right" indent="1"/>
      <protection locked="0"/>
    </xf>
    <xf numFmtId="168" fontId="16" fillId="17" borderId="25" xfId="22" applyNumberFormat="1" applyFont="1" applyFill="1" applyBorder="1" applyAlignment="1" applyProtection="1">
      <alignment horizontal="right" indent="1"/>
      <protection locked="0"/>
    </xf>
    <xf numFmtId="2" fontId="16" fillId="17" borderId="25" xfId="22" applyNumberFormat="1" applyFont="1" applyFill="1" applyBorder="1" applyAlignment="1">
      <alignment horizontal="right" indent="1"/>
    </xf>
    <xf numFmtId="2" fontId="16" fillId="2" borderId="25" xfId="22" applyNumberFormat="1" applyFont="1" applyFill="1" applyBorder="1" applyAlignment="1" applyProtection="1">
      <alignment horizontal="right" indent="1"/>
      <protection locked="0"/>
    </xf>
    <xf numFmtId="167" fontId="16" fillId="2" borderId="25" xfId="22" applyNumberFormat="1" applyFont="1" applyFill="1" applyBorder="1" applyAlignment="1" applyProtection="1">
      <alignment horizontal="right" indent="1"/>
      <protection locked="0"/>
    </xf>
    <xf numFmtId="167" fontId="16" fillId="18" borderId="32" xfId="22" applyNumberFormat="1" applyFont="1" applyFill="1" applyBorder="1" applyAlignment="1">
      <alignment horizontal="right" indent="1"/>
    </xf>
    <xf numFmtId="10" fontId="16" fillId="17" borderId="32" xfId="22" applyNumberFormat="1" applyFont="1" applyFill="1" applyBorder="1" applyAlignment="1" applyProtection="1">
      <alignment horizontal="right" indent="1"/>
      <protection locked="0"/>
    </xf>
    <xf numFmtId="169" fontId="14" fillId="18" borderId="2" xfId="22" applyNumberFormat="1" applyFont="1" applyFill="1" applyBorder="1"/>
    <xf numFmtId="168" fontId="16" fillId="18" borderId="29" xfId="22" applyNumberFormat="1" applyFont="1" applyFill="1" applyBorder="1" applyAlignment="1">
      <alignment horizontal="right" indent="1"/>
    </xf>
    <xf numFmtId="167" fontId="16" fillId="18" borderId="29" xfId="22" applyNumberFormat="1" applyFont="1" applyFill="1" applyBorder="1" applyAlignment="1" applyProtection="1">
      <alignment horizontal="right" indent="1"/>
      <protection locked="0"/>
    </xf>
    <xf numFmtId="168" fontId="16" fillId="18" borderId="29" xfId="22" applyNumberFormat="1" applyFont="1" applyFill="1" applyBorder="1" applyAlignment="1" applyProtection="1">
      <alignment horizontal="right" indent="1"/>
      <protection locked="0"/>
    </xf>
    <xf numFmtId="0" fontId="16" fillId="18" borderId="25" xfId="22" applyFont="1" applyFill="1" applyBorder="1" applyAlignment="1">
      <alignment horizontal="left" indent="1"/>
    </xf>
    <xf numFmtId="2" fontId="16" fillId="18" borderId="25" xfId="22" applyNumberFormat="1" applyFont="1" applyFill="1" applyBorder="1" applyAlignment="1" applyProtection="1">
      <alignment horizontal="right" indent="1"/>
      <protection locked="0"/>
    </xf>
    <xf numFmtId="167" fontId="16" fillId="17" borderId="25" xfId="22" applyNumberFormat="1" applyFont="1" applyFill="1" applyBorder="1" applyAlignment="1" applyProtection="1">
      <alignment horizontal="right" indent="1"/>
      <protection locked="0"/>
    </xf>
    <xf numFmtId="0" fontId="16" fillId="17" borderId="25" xfId="22" applyFont="1" applyFill="1" applyBorder="1" applyAlignment="1">
      <alignment horizontal="left" indent="1"/>
    </xf>
    <xf numFmtId="167" fontId="16" fillId="18" borderId="25" xfId="22" applyNumberFormat="1" applyFont="1" applyFill="1" applyBorder="1" applyAlignment="1" applyProtection="1">
      <alignment horizontal="right" indent="1"/>
      <protection locked="0"/>
    </xf>
    <xf numFmtId="2" fontId="42" fillId="17" borderId="25" xfId="22" applyNumberFormat="1" applyFont="1" applyFill="1" applyBorder="1" applyAlignment="1" applyProtection="1">
      <alignment horizontal="right" indent="1"/>
      <protection locked="0"/>
    </xf>
    <xf numFmtId="168" fontId="20" fillId="22" borderId="25" xfId="22" applyNumberFormat="1" applyFont="1" applyFill="1" applyBorder="1" applyAlignment="1">
      <alignment horizontal="right" indent="1"/>
    </xf>
    <xf numFmtId="168" fontId="16" fillId="25" borderId="25" xfId="22" applyNumberFormat="1" applyFont="1" applyFill="1" applyBorder="1" applyAlignment="1">
      <alignment horizontal="right" indent="1"/>
    </xf>
    <xf numFmtId="167" fontId="16" fillId="25" borderId="25" xfId="22" applyNumberFormat="1" applyFont="1" applyFill="1" applyBorder="1" applyAlignment="1" applyProtection="1">
      <alignment horizontal="right" indent="1"/>
      <protection locked="0"/>
    </xf>
    <xf numFmtId="168" fontId="16" fillId="22" borderId="25" xfId="22" applyNumberFormat="1" applyFont="1" applyFill="1" applyBorder="1" applyAlignment="1">
      <alignment horizontal="right" indent="1"/>
    </xf>
    <xf numFmtId="167" fontId="16" fillId="22" borderId="25" xfId="22" applyNumberFormat="1" applyFont="1" applyFill="1" applyBorder="1" applyAlignment="1" applyProtection="1">
      <alignment horizontal="right" indent="1"/>
      <protection locked="0"/>
    </xf>
    <xf numFmtId="168" fontId="16" fillId="22" borderId="25" xfId="22" applyNumberFormat="1" applyFont="1" applyFill="1" applyBorder="1" applyAlignment="1" applyProtection="1">
      <alignment horizontal="right" indent="1"/>
      <protection locked="0"/>
    </xf>
    <xf numFmtId="168" fontId="16" fillId="17" borderId="25" xfId="22" applyNumberFormat="1" applyFont="1" applyFill="1" applyBorder="1" applyAlignment="1">
      <alignment horizontal="right" indent="1"/>
    </xf>
    <xf numFmtId="2" fontId="16" fillId="2" borderId="25" xfId="22" applyNumberFormat="1" applyFont="1" applyFill="1" applyBorder="1" applyAlignment="1">
      <alignment horizontal="right" indent="1"/>
    </xf>
    <xf numFmtId="167" fontId="43" fillId="18" borderId="25" xfId="22" applyNumberFormat="1" applyFont="1" applyFill="1" applyBorder="1" applyAlignment="1" applyProtection="1">
      <alignment horizontal="right" indent="1"/>
      <protection locked="0"/>
    </xf>
    <xf numFmtId="2" fontId="42" fillId="2" borderId="25" xfId="22" applyNumberFormat="1" applyFont="1" applyFill="1" applyBorder="1" applyAlignment="1">
      <alignment horizontal="right" indent="1"/>
    </xf>
    <xf numFmtId="0" fontId="42" fillId="18" borderId="25" xfId="22" applyFont="1" applyFill="1" applyBorder="1" applyAlignment="1">
      <alignment horizontal="left" indent="1"/>
    </xf>
    <xf numFmtId="168" fontId="20" fillId="20" borderId="25" xfId="22" applyNumberFormat="1" applyFont="1" applyFill="1" applyBorder="1" applyAlignment="1">
      <alignment horizontal="right" indent="1"/>
    </xf>
    <xf numFmtId="168" fontId="16" fillId="18" borderId="25" xfId="22" applyNumberFormat="1" applyFont="1" applyFill="1" applyBorder="1" applyAlignment="1" applyProtection="1">
      <alignment horizontal="right" indent="1"/>
      <protection locked="0"/>
    </xf>
    <xf numFmtId="169" fontId="16" fillId="18" borderId="25" xfId="22" applyNumberFormat="1" applyFont="1" applyFill="1" applyBorder="1" applyAlignment="1">
      <alignment horizontal="right" indent="1"/>
    </xf>
    <xf numFmtId="172" fontId="19" fillId="18" borderId="24" xfId="22" applyNumberFormat="1" applyFont="1" applyFill="1" applyBorder="1" applyAlignment="1">
      <alignment horizontal="center" vertical="center"/>
    </xf>
    <xf numFmtId="0" fontId="19" fillId="18" borderId="24" xfId="22" applyFont="1" applyFill="1" applyBorder="1" applyAlignment="1">
      <alignment horizontal="center" vertical="center" wrapText="1"/>
    </xf>
    <xf numFmtId="0" fontId="16" fillId="0" borderId="27" xfId="22" applyFont="1" applyBorder="1" applyAlignment="1">
      <alignment horizontal="center" wrapText="1"/>
    </xf>
    <xf numFmtId="0" fontId="16" fillId="0" borderId="28" xfId="22" applyFont="1" applyBorder="1" applyAlignment="1">
      <alignment horizontal="center" wrapText="1"/>
    </xf>
    <xf numFmtId="0" fontId="16" fillId="0" borderId="0" xfId="22" applyFont="1" applyProtection="1">
      <protection locked="0"/>
    </xf>
    <xf numFmtId="0" fontId="17" fillId="0" borderId="0" xfId="22" applyFont="1" applyAlignment="1">
      <alignment horizontal="right"/>
    </xf>
    <xf numFmtId="0" fontId="16" fillId="0" borderId="0" xfId="22" applyFont="1"/>
    <xf numFmtId="0" fontId="19" fillId="18" borderId="24" xfId="22" applyFont="1" applyFill="1" applyBorder="1" applyAlignment="1" applyProtection="1">
      <alignment horizontal="center" vertical="center"/>
      <protection locked="0"/>
    </xf>
    <xf numFmtId="0" fontId="25" fillId="0" borderId="0" xfId="22" applyFont="1" applyAlignment="1">
      <alignment horizontal="center"/>
    </xf>
    <xf numFmtId="0" fontId="19" fillId="0" borderId="0" xfId="22" applyFont="1" applyAlignment="1">
      <alignment horizontal="right"/>
    </xf>
    <xf numFmtId="0" fontId="14" fillId="0" borderId="0" xfId="22" applyFont="1"/>
    <xf numFmtId="0" fontId="16" fillId="0" borderId="27" xfId="22" applyFont="1" applyBorder="1" applyAlignment="1" applyProtection="1">
      <alignment horizontal="center" wrapText="1"/>
      <protection locked="0"/>
    </xf>
    <xf numFmtId="0" fontId="16" fillId="0" borderId="28" xfId="22" applyFont="1" applyBorder="1" applyAlignment="1" applyProtection="1">
      <alignment horizontal="center" wrapText="1"/>
      <protection locked="0"/>
    </xf>
    <xf numFmtId="0" fontId="16" fillId="18" borderId="27" xfId="22" applyFont="1" applyFill="1" applyBorder="1" applyAlignment="1">
      <alignment horizontal="center" wrapText="1"/>
    </xf>
    <xf numFmtId="0" fontId="16" fillId="18" borderId="28" xfId="22" applyFont="1" applyFill="1" applyBorder="1" applyAlignment="1">
      <alignment horizontal="center" wrapText="1"/>
    </xf>
    <xf numFmtId="0" fontId="19" fillId="18" borderId="24" xfId="22" applyFont="1" applyFill="1" applyBorder="1" applyAlignment="1">
      <alignment horizontal="center" vertical="center"/>
    </xf>
    <xf numFmtId="0" fontId="16" fillId="17" borderId="27" xfId="22" applyFont="1" applyFill="1" applyBorder="1" applyAlignment="1">
      <alignment horizontal="center" wrapText="1"/>
    </xf>
    <xf numFmtId="0" fontId="16" fillId="17" borderId="28" xfId="22" applyFont="1" applyFill="1" applyBorder="1" applyAlignment="1">
      <alignment horizontal="center" wrapText="1"/>
    </xf>
    <xf numFmtId="0" fontId="0" fillId="0" borderId="44" xfId="0" applyBorder="1" applyProtection="1">
      <protection locked="0"/>
    </xf>
    <xf numFmtId="0" fontId="0" fillId="0" borderId="0" xfId="0" applyAlignment="1" applyProtection="1">
      <alignment horizontal="center" vertical="center"/>
      <protection locked="0"/>
    </xf>
    <xf numFmtId="0" fontId="36" fillId="14" borderId="4" xfId="18" applyFill="1" applyBorder="1" applyProtection="1">
      <protection locked="0"/>
    </xf>
    <xf numFmtId="0" fontId="36" fillId="14" borderId="43" xfId="18" applyFill="1" applyBorder="1" applyProtection="1">
      <protection locked="0"/>
    </xf>
    <xf numFmtId="169" fontId="20" fillId="18" borderId="25" xfId="22" applyNumberFormat="1" applyFont="1" applyFill="1" applyBorder="1" applyAlignment="1">
      <alignment horizontal="center"/>
    </xf>
    <xf numFmtId="169" fontId="16" fillId="18" borderId="25" xfId="22" applyNumberFormat="1" applyFont="1" applyFill="1" applyBorder="1" applyAlignment="1">
      <alignment horizontal="center"/>
    </xf>
    <xf numFmtId="169" fontId="16" fillId="2" borderId="25" xfId="22" applyNumberFormat="1" applyFont="1" applyFill="1" applyBorder="1" applyAlignment="1" applyProtection="1">
      <alignment horizontal="center"/>
      <protection locked="0"/>
    </xf>
    <xf numFmtId="169" fontId="14" fillId="0" borderId="0" xfId="22" applyNumberFormat="1" applyFont="1" applyAlignment="1">
      <alignment horizontal="center"/>
    </xf>
    <xf numFmtId="169" fontId="16" fillId="0" borderId="25" xfId="22" applyNumberFormat="1" applyFont="1" applyBorder="1" applyAlignment="1" applyProtection="1">
      <alignment horizontal="center"/>
      <protection locked="0"/>
    </xf>
    <xf numFmtId="0" fontId="16" fillId="18" borderId="25" xfId="22" applyFont="1" applyFill="1" applyBorder="1" applyAlignment="1">
      <alignment horizontal="center"/>
    </xf>
    <xf numFmtId="2" fontId="16" fillId="0" borderId="25" xfId="22" applyNumberFormat="1" applyFont="1" applyBorder="1" applyAlignment="1" applyProtection="1">
      <alignment horizontal="center"/>
      <protection locked="0"/>
    </xf>
    <xf numFmtId="169" fontId="20" fillId="22" borderId="25" xfId="22" applyNumberFormat="1" applyFont="1" applyFill="1" applyBorder="1" applyAlignment="1">
      <alignment horizontal="center"/>
    </xf>
    <xf numFmtId="169" fontId="16" fillId="0" borderId="25" xfId="22" applyNumberFormat="1" applyFont="1" applyBorder="1" applyAlignment="1">
      <alignment horizontal="center"/>
    </xf>
    <xf numFmtId="169" fontId="20" fillId="20" borderId="25" xfId="22" applyNumberFormat="1" applyFont="1" applyFill="1" applyBorder="1" applyAlignment="1">
      <alignment horizontal="center"/>
    </xf>
    <xf numFmtId="0" fontId="20" fillId="20" borderId="0" xfId="22" applyFont="1" applyFill="1" applyAlignment="1">
      <alignment horizontal="center" wrapText="1"/>
    </xf>
    <xf numFmtId="169" fontId="16" fillId="19" borderId="25" xfId="22" applyNumberFormat="1" applyFont="1" applyFill="1" applyBorder="1" applyAlignment="1" applyProtection="1">
      <alignment horizontal="center"/>
      <protection locked="0"/>
    </xf>
    <xf numFmtId="169" fontId="16" fillId="18" borderId="25" xfId="24" applyNumberFormat="1" applyFont="1" applyFill="1" applyBorder="1" applyAlignment="1">
      <alignment horizontal="center"/>
    </xf>
    <xf numFmtId="169" fontId="19" fillId="18" borderId="32" xfId="24" applyNumberFormat="1" applyFont="1" applyFill="1" applyBorder="1" applyAlignment="1">
      <alignment horizontal="center" vertical="center"/>
    </xf>
    <xf numFmtId="0" fontId="19" fillId="18" borderId="32" xfId="22" applyFont="1" applyFill="1" applyBorder="1" applyAlignment="1">
      <alignment horizontal="center" vertical="center"/>
    </xf>
    <xf numFmtId="169" fontId="19" fillId="2" borderId="32" xfId="24" applyNumberFormat="1" applyFont="1" applyFill="1" applyBorder="1" applyAlignment="1">
      <alignment horizontal="center" vertical="center"/>
    </xf>
    <xf numFmtId="172" fontId="19" fillId="18" borderId="32" xfId="22" applyNumberFormat="1" applyFont="1" applyFill="1" applyBorder="1" applyAlignment="1">
      <alignment horizontal="center" vertical="center"/>
    </xf>
    <xf numFmtId="2" fontId="19" fillId="2" borderId="32" xfId="22" applyNumberFormat="1" applyFont="1" applyFill="1" applyBorder="1" applyAlignment="1" applyProtection="1">
      <alignment horizontal="center" vertical="center"/>
      <protection locked="0"/>
    </xf>
    <xf numFmtId="169" fontId="19" fillId="18" borderId="24" xfId="22" applyNumberFormat="1" applyFont="1" applyFill="1" applyBorder="1" applyAlignment="1">
      <alignment horizontal="center" vertical="center"/>
    </xf>
    <xf numFmtId="0" fontId="14" fillId="0" borderId="0" xfId="22" applyFont="1" applyProtection="1">
      <protection locked="0"/>
    </xf>
    <xf numFmtId="2" fontId="16" fillId="2" borderId="0" xfId="22" applyNumberFormat="1" applyFont="1" applyFill="1" applyAlignment="1" applyProtection="1">
      <alignment horizontal="right" indent="1"/>
      <protection locked="0"/>
    </xf>
    <xf numFmtId="2" fontId="20" fillId="18" borderId="25" xfId="22" applyNumberFormat="1" applyFont="1" applyFill="1" applyBorder="1" applyAlignment="1">
      <alignment horizontal="right" indent="1"/>
    </xf>
    <xf numFmtId="2" fontId="16" fillId="18" borderId="32" xfId="22" applyNumberFormat="1" applyFont="1" applyFill="1" applyBorder="1" applyAlignment="1">
      <alignment horizontal="right" indent="1"/>
    </xf>
    <xf numFmtId="2" fontId="14" fillId="18" borderId="2" xfId="22" applyNumberFormat="1" applyFont="1" applyFill="1" applyBorder="1"/>
    <xf numFmtId="2" fontId="16" fillId="19" borderId="25" xfId="22" applyNumberFormat="1" applyFont="1" applyFill="1" applyBorder="1" applyAlignment="1">
      <alignment horizontal="right" indent="1"/>
    </xf>
    <xf numFmtId="2" fontId="16" fillId="18" borderId="29" xfId="22" applyNumberFormat="1" applyFont="1" applyFill="1" applyBorder="1" applyAlignment="1" applyProtection="1">
      <alignment horizontal="right" indent="1"/>
      <protection locked="0"/>
    </xf>
    <xf numFmtId="2" fontId="16" fillId="19" borderId="25" xfId="22" applyNumberFormat="1" applyFont="1" applyFill="1" applyBorder="1" applyAlignment="1" applyProtection="1">
      <alignment horizontal="right" indent="1"/>
      <protection locked="0"/>
    </xf>
    <xf numFmtId="0" fontId="16" fillId="18" borderId="25" xfId="22" applyFont="1" applyFill="1" applyBorder="1" applyAlignment="1" applyProtection="1">
      <alignment horizontal="left" indent="1"/>
      <protection locked="0"/>
    </xf>
    <xf numFmtId="2" fontId="14" fillId="0" borderId="0" xfId="22" applyNumberFormat="1" applyFont="1"/>
    <xf numFmtId="167" fontId="16" fillId="20" borderId="25" xfId="22" applyNumberFormat="1" applyFont="1" applyFill="1" applyBorder="1" applyAlignment="1" applyProtection="1">
      <alignment horizontal="right" indent="1"/>
      <protection locked="0"/>
    </xf>
    <xf numFmtId="2" fontId="16" fillId="20" borderId="25" xfId="22" applyNumberFormat="1" applyFont="1" applyFill="1" applyBorder="1" applyAlignment="1" applyProtection="1">
      <alignment horizontal="right" indent="1"/>
      <protection locked="0"/>
    </xf>
    <xf numFmtId="0" fontId="20" fillId="20" borderId="25" xfId="22" applyFont="1" applyFill="1" applyBorder="1" applyAlignment="1" applyProtection="1">
      <alignment horizontal="left" indent="1"/>
      <protection locked="0"/>
    </xf>
    <xf numFmtId="0" fontId="20" fillId="18" borderId="28" xfId="22" applyFont="1" applyFill="1" applyBorder="1" applyAlignment="1">
      <alignment horizontal="center" wrapText="1"/>
    </xf>
    <xf numFmtId="0" fontId="20" fillId="18" borderId="27" xfId="22" applyFont="1" applyFill="1" applyBorder="1" applyAlignment="1">
      <alignment horizontal="center" wrapText="1"/>
    </xf>
    <xf numFmtId="0" fontId="23" fillId="18" borderId="25" xfId="22" applyFont="1" applyFill="1" applyBorder="1" applyAlignment="1">
      <alignment horizontal="left" indent="1"/>
    </xf>
    <xf numFmtId="167" fontId="16" fillId="20" borderId="25" xfId="22" applyNumberFormat="1" applyFont="1" applyFill="1" applyBorder="1" applyAlignment="1">
      <alignment horizontal="right" indent="1"/>
    </xf>
    <xf numFmtId="168" fontId="14" fillId="18" borderId="2" xfId="22" applyNumberFormat="1" applyFont="1" applyFill="1" applyBorder="1"/>
    <xf numFmtId="0" fontId="16" fillId="0" borderId="28" xfId="22" applyFont="1" applyBorder="1" applyAlignment="1">
      <alignment horizontal="left" wrapText="1" indent="1"/>
    </xf>
    <xf numFmtId="0" fontId="16" fillId="0" borderId="27" xfId="22" applyFont="1" applyBorder="1" applyAlignment="1">
      <alignment horizontal="left" wrapText="1" indent="1"/>
    </xf>
    <xf numFmtId="167" fontId="7" fillId="31" borderId="63" xfId="2" applyFont="1" applyFill="1" applyBorder="1" applyAlignment="1">
      <alignment horizontal="center"/>
    </xf>
    <xf numFmtId="167" fontId="7" fillId="31" borderId="64" xfId="2" applyFont="1" applyFill="1" applyBorder="1" applyAlignment="1">
      <alignment horizontal="center"/>
    </xf>
    <xf numFmtId="0" fontId="0" fillId="31" borderId="0" xfId="0" applyFill="1"/>
    <xf numFmtId="0" fontId="0" fillId="0" borderId="65" xfId="0" applyBorder="1" applyProtection="1">
      <protection locked="0"/>
    </xf>
    <xf numFmtId="0" fontId="2" fillId="33" borderId="67" xfId="0" applyFont="1" applyFill="1" applyBorder="1" applyAlignment="1" applyProtection="1">
      <alignment horizontal="center"/>
      <protection locked="0"/>
    </xf>
    <xf numFmtId="0" fontId="0" fillId="0" borderId="67" xfId="0" applyBorder="1" applyProtection="1">
      <protection locked="0"/>
    </xf>
    <xf numFmtId="0" fontId="0" fillId="0" borderId="66" xfId="0" applyBorder="1"/>
    <xf numFmtId="0" fontId="47" fillId="33" borderId="71" xfId="0" applyFont="1" applyFill="1" applyBorder="1" applyAlignment="1">
      <alignment horizontal="left" vertical="top" wrapText="1"/>
    </xf>
    <xf numFmtId="0" fontId="0" fillId="2" borderId="0" xfId="0" applyFill="1" applyAlignment="1">
      <alignment horizontal="left" vertical="top" wrapText="1"/>
    </xf>
    <xf numFmtId="0" fontId="11" fillId="31" borderId="0" xfId="0" applyFont="1" applyFill="1"/>
    <xf numFmtId="0" fontId="0" fillId="2" borderId="8" xfId="0" applyFill="1" applyBorder="1"/>
    <xf numFmtId="0" fontId="44" fillId="16" borderId="0" xfId="0" applyFont="1" applyFill="1"/>
    <xf numFmtId="0" fontId="45" fillId="16" borderId="65" xfId="0" applyFont="1" applyFill="1" applyBorder="1"/>
    <xf numFmtId="0" fontId="45" fillId="16" borderId="8" xfId="0" applyFont="1" applyFill="1" applyBorder="1"/>
    <xf numFmtId="169" fontId="46" fillId="0" borderId="67" xfId="0" applyNumberFormat="1" applyFont="1" applyBorder="1"/>
    <xf numFmtId="169" fontId="0" fillId="2" borderId="8" xfId="0" applyNumberFormat="1" applyFill="1" applyBorder="1"/>
    <xf numFmtId="0" fontId="48" fillId="32" borderId="0" xfId="0" applyFont="1" applyFill="1"/>
    <xf numFmtId="169" fontId="49" fillId="2" borderId="8" xfId="0" applyNumberFormat="1" applyFont="1" applyFill="1" applyBorder="1"/>
    <xf numFmtId="0" fontId="50" fillId="34" borderId="0" xfId="0" applyFont="1" applyFill="1"/>
    <xf numFmtId="0" fontId="17" fillId="18" borderId="24" xfId="22" applyFont="1" applyFill="1" applyBorder="1" applyAlignment="1">
      <alignment horizontal="center" vertical="center"/>
    </xf>
    <xf numFmtId="0" fontId="16" fillId="17" borderId="27" xfId="22" applyFont="1" applyFill="1" applyBorder="1" applyAlignment="1" applyProtection="1">
      <alignment horizontal="center" wrapText="1"/>
      <protection locked="0"/>
    </xf>
    <xf numFmtId="0" fontId="16" fillId="17" borderId="28" xfId="22" applyFont="1" applyFill="1" applyBorder="1" applyAlignment="1" applyProtection="1">
      <alignment horizontal="center" wrapText="1"/>
      <protection locked="0"/>
    </xf>
    <xf numFmtId="0" fontId="20" fillId="17" borderId="27" xfId="22" applyFont="1" applyFill="1" applyBorder="1" applyAlignment="1" applyProtection="1">
      <alignment horizontal="center" wrapText="1"/>
      <protection locked="0"/>
    </xf>
    <xf numFmtId="0" fontId="20" fillId="17" borderId="28" xfId="22" applyFont="1" applyFill="1" applyBorder="1" applyAlignment="1" applyProtection="1">
      <alignment horizontal="center" wrapText="1"/>
      <protection locked="0"/>
    </xf>
    <xf numFmtId="0" fontId="20" fillId="20" borderId="27" xfId="22" applyFont="1" applyFill="1" applyBorder="1" applyAlignment="1" applyProtection="1">
      <alignment horizontal="center" wrapText="1"/>
      <protection locked="0"/>
    </xf>
    <xf numFmtId="0" fontId="20" fillId="20" borderId="28" xfId="22" applyFont="1" applyFill="1" applyBorder="1" applyAlignment="1" applyProtection="1">
      <alignment horizontal="center" wrapText="1"/>
      <protection locked="0"/>
    </xf>
    <xf numFmtId="0" fontId="20" fillId="18" borderId="27" xfId="22" applyFont="1" applyFill="1" applyBorder="1" applyAlignment="1" applyProtection="1">
      <alignment horizontal="center" wrapText="1"/>
      <protection locked="0"/>
    </xf>
    <xf numFmtId="0" fontId="20" fillId="18" borderId="28" xfId="22" applyFont="1" applyFill="1" applyBorder="1" applyAlignment="1" applyProtection="1">
      <alignment horizontal="center" wrapText="1"/>
      <protection locked="0"/>
    </xf>
    <xf numFmtId="0" fontId="16" fillId="18" borderId="27" xfId="14" applyFont="1" applyFill="1" applyBorder="1" applyAlignment="1">
      <alignment horizontal="center" wrapText="1"/>
    </xf>
    <xf numFmtId="0" fontId="16" fillId="18" borderId="28" xfId="14" applyFont="1" applyFill="1" applyBorder="1" applyAlignment="1">
      <alignment horizontal="center" wrapText="1"/>
    </xf>
    <xf numFmtId="0" fontId="17" fillId="18" borderId="24" xfId="14" applyFont="1" applyFill="1" applyBorder="1" applyAlignment="1">
      <alignment horizontal="center" vertical="center"/>
    </xf>
    <xf numFmtId="0" fontId="20" fillId="18" borderId="27" xfId="14" applyFont="1" applyFill="1" applyBorder="1" applyAlignment="1" applyProtection="1">
      <alignment horizontal="center" wrapText="1"/>
      <protection locked="0"/>
    </xf>
    <xf numFmtId="0" fontId="20" fillId="18" borderId="28" xfId="14" applyFont="1" applyFill="1" applyBorder="1" applyAlignment="1" applyProtection="1">
      <alignment horizontal="center" wrapText="1"/>
      <protection locked="0"/>
    </xf>
    <xf numFmtId="0" fontId="16" fillId="17" borderId="27" xfId="14" applyFont="1" applyFill="1" applyBorder="1" applyAlignment="1">
      <alignment horizontal="center" wrapText="1"/>
    </xf>
    <xf numFmtId="0" fontId="16" fillId="17" borderId="28" xfId="14" applyFont="1" applyFill="1" applyBorder="1" applyAlignment="1">
      <alignment horizontal="center" wrapText="1"/>
    </xf>
    <xf numFmtId="0" fontId="20" fillId="17" borderId="27" xfId="14" applyFont="1" applyFill="1" applyBorder="1" applyAlignment="1" applyProtection="1">
      <alignment horizontal="center" wrapText="1"/>
      <protection locked="0"/>
    </xf>
    <xf numFmtId="0" fontId="20" fillId="17" borderId="28" xfId="14" applyFont="1" applyFill="1" applyBorder="1" applyAlignment="1" applyProtection="1">
      <alignment horizontal="center" wrapText="1"/>
      <protection locked="0"/>
    </xf>
    <xf numFmtId="0" fontId="20" fillId="20" borderId="27" xfId="14" applyFont="1" applyFill="1" applyBorder="1" applyAlignment="1" applyProtection="1">
      <alignment horizontal="center" wrapText="1"/>
      <protection locked="0"/>
    </xf>
    <xf numFmtId="0" fontId="20" fillId="20" borderId="28" xfId="14" applyFont="1" applyFill="1" applyBorder="1" applyAlignment="1" applyProtection="1">
      <alignment horizontal="center" wrapText="1"/>
      <protection locked="0"/>
    </xf>
    <xf numFmtId="0" fontId="16" fillId="17" borderId="27" xfId="14" applyFont="1" applyFill="1" applyBorder="1" applyAlignment="1" applyProtection="1">
      <alignment horizontal="center" wrapText="1"/>
      <protection locked="0"/>
    </xf>
    <xf numFmtId="0" fontId="16" fillId="17" borderId="28" xfId="14" applyFont="1" applyFill="1" applyBorder="1" applyAlignment="1" applyProtection="1">
      <alignment horizontal="center" wrapText="1"/>
      <protection locked="0"/>
    </xf>
    <xf numFmtId="0" fontId="22" fillId="18" borderId="27" xfId="22" applyFont="1" applyFill="1" applyBorder="1" applyAlignment="1">
      <alignment horizontal="center" wrapText="1"/>
    </xf>
    <xf numFmtId="2" fontId="20" fillId="18" borderId="25" xfId="31" applyNumberFormat="1" applyFont="1" applyFill="1" applyBorder="1" applyAlignment="1">
      <alignment horizontal="right" indent="1"/>
    </xf>
    <xf numFmtId="0" fontId="19" fillId="0" borderId="0" xfId="31" applyFont="1" applyAlignment="1">
      <alignment horizontal="right"/>
    </xf>
    <xf numFmtId="0" fontId="16" fillId="0" borderId="0" xfId="31" applyFont="1"/>
    <xf numFmtId="2" fontId="16" fillId="2" borderId="0" xfId="31" applyNumberFormat="1" applyFont="1" applyFill="1" applyAlignment="1" applyProtection="1">
      <alignment horizontal="right" indent="1"/>
      <protection locked="0"/>
    </xf>
    <xf numFmtId="2" fontId="16" fillId="18" borderId="25" xfId="31" applyNumberFormat="1" applyFont="1" applyFill="1" applyBorder="1" applyAlignment="1">
      <alignment horizontal="right" indent="1"/>
    </xf>
    <xf numFmtId="0" fontId="19" fillId="21" borderId="0" xfId="31" applyFont="1" applyFill="1" applyAlignment="1">
      <alignment horizontal="right"/>
    </xf>
    <xf numFmtId="2" fontId="16" fillId="18" borderId="32" xfId="31" applyNumberFormat="1" applyFont="1" applyFill="1" applyBorder="1" applyAlignment="1">
      <alignment horizontal="right" indent="1"/>
    </xf>
    <xf numFmtId="10" fontId="16" fillId="17" borderId="32" xfId="31" applyNumberFormat="1" applyFont="1" applyFill="1" applyBorder="1" applyAlignment="1" applyProtection="1">
      <alignment horizontal="right" indent="1"/>
      <protection locked="0"/>
    </xf>
    <xf numFmtId="0" fontId="16" fillId="21" borderId="0" xfId="31" applyFont="1" applyFill="1"/>
    <xf numFmtId="2" fontId="14" fillId="18" borderId="2" xfId="31" applyNumberFormat="1" applyFont="1" applyFill="1" applyBorder="1"/>
    <xf numFmtId="0" fontId="14" fillId="0" borderId="0" xfId="31" applyFont="1"/>
    <xf numFmtId="2" fontId="16" fillId="19" borderId="25" xfId="31" applyNumberFormat="1" applyFont="1" applyFill="1" applyBorder="1" applyAlignment="1">
      <alignment horizontal="right" indent="1"/>
    </xf>
    <xf numFmtId="167" fontId="16" fillId="18" borderId="25" xfId="31" applyNumberFormat="1" applyFont="1" applyFill="1" applyBorder="1" applyAlignment="1">
      <alignment horizontal="right" indent="1"/>
    </xf>
    <xf numFmtId="0" fontId="20" fillId="18" borderId="28" xfId="31" applyFont="1" applyFill="1" applyBorder="1" applyAlignment="1">
      <alignment horizontal="center" wrapText="1"/>
    </xf>
    <xf numFmtId="0" fontId="20" fillId="18" borderId="27" xfId="31" applyFont="1" applyFill="1" applyBorder="1" applyAlignment="1">
      <alignment horizontal="center" wrapText="1"/>
    </xf>
    <xf numFmtId="0" fontId="16" fillId="18" borderId="25" xfId="31" applyFont="1" applyFill="1" applyBorder="1" applyAlignment="1">
      <alignment horizontal="left" indent="1"/>
    </xf>
    <xf numFmtId="2" fontId="16" fillId="18" borderId="29" xfId="31" applyNumberFormat="1" applyFont="1" applyFill="1" applyBorder="1" applyAlignment="1" applyProtection="1">
      <alignment horizontal="right" indent="1"/>
      <protection locked="0"/>
    </xf>
    <xf numFmtId="2" fontId="16" fillId="17" borderId="25" xfId="31" applyNumberFormat="1" applyFont="1" applyFill="1" applyBorder="1" applyAlignment="1" applyProtection="1">
      <alignment horizontal="right" indent="1"/>
      <protection locked="0"/>
    </xf>
    <xf numFmtId="2" fontId="16" fillId="19" borderId="25" xfId="31" applyNumberFormat="1" applyFont="1" applyFill="1" applyBorder="1" applyAlignment="1" applyProtection="1">
      <alignment horizontal="right" indent="1"/>
      <protection locked="0"/>
    </xf>
    <xf numFmtId="167" fontId="16" fillId="17" borderId="25" xfId="31" applyNumberFormat="1" applyFont="1" applyFill="1" applyBorder="1" applyAlignment="1" applyProtection="1">
      <alignment horizontal="right" indent="1"/>
      <protection locked="0"/>
    </xf>
    <xf numFmtId="0" fontId="16" fillId="17" borderId="25" xfId="31" applyFont="1" applyFill="1" applyBorder="1" applyAlignment="1" applyProtection="1">
      <alignment horizontal="left" indent="1"/>
      <protection locked="0"/>
    </xf>
    <xf numFmtId="167" fontId="16" fillId="18" borderId="25" xfId="31" applyNumberFormat="1" applyFont="1" applyFill="1" applyBorder="1" applyAlignment="1" applyProtection="1">
      <alignment horizontal="right" indent="1"/>
      <protection locked="0"/>
    </xf>
    <xf numFmtId="2" fontId="16" fillId="18" borderId="25" xfId="31" applyNumberFormat="1" applyFont="1" applyFill="1" applyBorder="1" applyAlignment="1" applyProtection="1">
      <alignment horizontal="right" indent="1"/>
      <protection locked="0"/>
    </xf>
    <xf numFmtId="0" fontId="16" fillId="18" borderId="25" xfId="31" applyFont="1" applyFill="1" applyBorder="1" applyAlignment="1" applyProtection="1">
      <alignment horizontal="left" indent="1"/>
      <protection locked="0"/>
    </xf>
    <xf numFmtId="2" fontId="16" fillId="17" borderId="25" xfId="31" applyNumberFormat="1" applyFont="1" applyFill="1" applyBorder="1" applyAlignment="1">
      <alignment horizontal="right" indent="1"/>
    </xf>
    <xf numFmtId="2" fontId="16" fillId="20" borderId="25" xfId="31" applyNumberFormat="1" applyFont="1" applyFill="1" applyBorder="1" applyAlignment="1">
      <alignment horizontal="right" indent="1"/>
    </xf>
    <xf numFmtId="167" fontId="16" fillId="20" borderId="25" xfId="31" applyNumberFormat="1" applyFont="1" applyFill="1" applyBorder="1" applyAlignment="1" applyProtection="1">
      <alignment horizontal="right" indent="1"/>
      <protection locked="0"/>
    </xf>
    <xf numFmtId="2" fontId="16" fillId="20" borderId="25" xfId="31" applyNumberFormat="1" applyFont="1" applyFill="1" applyBorder="1" applyAlignment="1" applyProtection="1">
      <alignment horizontal="right" indent="1"/>
      <protection locked="0"/>
    </xf>
    <xf numFmtId="0" fontId="20" fillId="20" borderId="25" xfId="31" applyFont="1" applyFill="1" applyBorder="1" applyAlignment="1" applyProtection="1">
      <alignment horizontal="left" indent="1"/>
      <protection locked="0"/>
    </xf>
    <xf numFmtId="0" fontId="23" fillId="18" borderId="25" xfId="31" applyFont="1" applyFill="1" applyBorder="1" applyAlignment="1">
      <alignment horizontal="left" indent="1"/>
    </xf>
    <xf numFmtId="167" fontId="16" fillId="20" borderId="25" xfId="31" applyNumberFormat="1" applyFont="1" applyFill="1" applyBorder="1" applyAlignment="1">
      <alignment horizontal="right" indent="1"/>
    </xf>
    <xf numFmtId="0" fontId="16" fillId="17" borderId="25" xfId="31" applyFont="1" applyFill="1" applyBorder="1" applyAlignment="1">
      <alignment horizontal="left" indent="1"/>
    </xf>
    <xf numFmtId="0" fontId="19" fillId="18" borderId="24" xfId="31" applyFont="1" applyFill="1" applyBorder="1" applyAlignment="1">
      <alignment horizontal="center" vertical="center"/>
    </xf>
    <xf numFmtId="172" fontId="19" fillId="18" borderId="24" xfId="31" applyNumberFormat="1" applyFont="1" applyFill="1" applyBorder="1" applyAlignment="1">
      <alignment horizontal="center" vertical="center"/>
    </xf>
    <xf numFmtId="172" fontId="16" fillId="0" borderId="25" xfId="31" applyNumberFormat="1" applyFont="1" applyBorder="1" applyAlignment="1" applyProtection="1">
      <alignment horizontal="left" indent="1"/>
      <protection locked="0"/>
    </xf>
    <xf numFmtId="0" fontId="16" fillId="0" borderId="25" xfId="31" applyFont="1" applyBorder="1" applyAlignment="1" applyProtection="1">
      <alignment horizontal="left" indent="1"/>
      <protection locked="0"/>
    </xf>
    <xf numFmtId="0" fontId="19" fillId="18" borderId="24" xfId="31" applyFont="1" applyFill="1" applyBorder="1" applyAlignment="1">
      <alignment horizontal="center" vertical="center" wrapText="1"/>
    </xf>
    <xf numFmtId="0" fontId="16" fillId="0" borderId="0" xfId="31" applyFont="1" applyProtection="1">
      <protection locked="0"/>
    </xf>
    <xf numFmtId="0" fontId="20" fillId="0" borderId="0" xfId="31" applyFont="1" applyAlignment="1" applyProtection="1">
      <alignment horizontal="left" indent="1"/>
      <protection locked="0"/>
    </xf>
    <xf numFmtId="0" fontId="20" fillId="0" borderId="0" xfId="31" applyFont="1" applyAlignment="1" applyProtection="1">
      <alignment horizontal="right"/>
      <protection locked="0"/>
    </xf>
    <xf numFmtId="0" fontId="19" fillId="0" borderId="0" xfId="31" applyFont="1" applyAlignment="1" applyProtection="1">
      <alignment horizontal="left" wrapText="1" indent="1"/>
      <protection locked="0"/>
    </xf>
    <xf numFmtId="0" fontId="16" fillId="0" borderId="0" xfId="31" applyFont="1" applyAlignment="1">
      <alignment horizontal="right"/>
    </xf>
    <xf numFmtId="14" fontId="20" fillId="0" borderId="0" xfId="31" applyNumberFormat="1" applyFont="1" applyAlignment="1">
      <alignment horizontal="left" indent="1"/>
    </xf>
    <xf numFmtId="0" fontId="17" fillId="0" borderId="0" xfId="31" applyFont="1" applyAlignment="1">
      <alignment horizontal="right"/>
    </xf>
    <xf numFmtId="0" fontId="17" fillId="0" borderId="0" xfId="31" applyFont="1"/>
    <xf numFmtId="0" fontId="33" fillId="0" borderId="0" xfId="0" applyFont="1"/>
    <xf numFmtId="0" fontId="0" fillId="37" borderId="0" xfId="0" applyFill="1"/>
    <xf numFmtId="0" fontId="29" fillId="0" borderId="0" xfId="27"/>
    <xf numFmtId="0" fontId="4" fillId="35" borderId="27" xfId="14" applyFont="1" applyFill="1" applyBorder="1" applyAlignment="1">
      <alignment horizontal="center" wrapText="1"/>
    </xf>
    <xf numFmtId="0" fontId="4" fillId="35" borderId="27" xfId="22" applyFont="1" applyFill="1" applyBorder="1" applyAlignment="1">
      <alignment horizontal="center" wrapText="1"/>
    </xf>
    <xf numFmtId="0" fontId="29" fillId="0" borderId="2" xfId="14" applyBorder="1"/>
    <xf numFmtId="0" fontId="4" fillId="35" borderId="62" xfId="14" applyFont="1" applyFill="1" applyBorder="1" applyAlignment="1">
      <alignment horizontal="center" wrapText="1"/>
    </xf>
    <xf numFmtId="0" fontId="6" fillId="35" borderId="2" xfId="0" applyFont="1" applyFill="1" applyBorder="1"/>
    <xf numFmtId="0" fontId="2" fillId="35" borderId="2" xfId="0" applyFont="1" applyFill="1" applyBorder="1"/>
    <xf numFmtId="174" fontId="4" fillId="35" borderId="25" xfId="14" applyNumberFormat="1" applyFont="1" applyFill="1" applyBorder="1" applyAlignment="1">
      <alignment horizontal="right" indent="1"/>
    </xf>
    <xf numFmtId="174" fontId="1" fillId="2" borderId="2" xfId="33" applyNumberFormat="1" applyFill="1" applyBorder="1"/>
    <xf numFmtId="174" fontId="4" fillId="2" borderId="2" xfId="33" applyNumberFormat="1" applyFont="1" applyFill="1" applyBorder="1"/>
    <xf numFmtId="174" fontId="4" fillId="2" borderId="28" xfId="14" applyNumberFormat="1" applyFont="1" applyFill="1" applyBorder="1" applyAlignment="1">
      <alignment horizontal="right" indent="1"/>
    </xf>
    <xf numFmtId="174" fontId="4" fillId="2" borderId="2" xfId="14" applyNumberFormat="1" applyFont="1" applyFill="1" applyBorder="1" applyAlignment="1">
      <alignment horizontal="right" indent="1"/>
    </xf>
    <xf numFmtId="174" fontId="4" fillId="20" borderId="25" xfId="14" applyNumberFormat="1" applyFont="1" applyFill="1" applyBorder="1" applyAlignment="1">
      <alignment horizontal="right" indent="1"/>
    </xf>
    <xf numFmtId="174" fontId="0" fillId="0" borderId="2" xfId="0" applyNumberFormat="1" applyBorder="1"/>
    <xf numFmtId="174" fontId="4" fillId="20" borderId="2" xfId="14" applyNumberFormat="1" applyFont="1" applyFill="1" applyBorder="1" applyAlignment="1" applyProtection="1">
      <alignment horizontal="right" indent="1"/>
      <protection locked="0"/>
    </xf>
    <xf numFmtId="0" fontId="11" fillId="13" borderId="0" xfId="12">
      <alignment horizontal="left"/>
    </xf>
    <xf numFmtId="174" fontId="11" fillId="13" borderId="0" xfId="12" applyNumberFormat="1">
      <alignment horizontal="left"/>
    </xf>
    <xf numFmtId="0" fontId="48" fillId="13" borderId="0" xfId="12" applyFont="1" applyAlignment="1"/>
    <xf numFmtId="174" fontId="48" fillId="13" borderId="0" xfId="12" applyNumberFormat="1" applyFont="1">
      <alignment horizontal="left"/>
    </xf>
    <xf numFmtId="0" fontId="11" fillId="13" borderId="0" xfId="12" applyAlignment="1">
      <alignment horizontal="right"/>
    </xf>
    <xf numFmtId="0" fontId="11" fillId="13" borderId="75" xfId="12" applyBorder="1">
      <alignment horizontal="left"/>
    </xf>
    <xf numFmtId="0" fontId="11" fillId="13" borderId="76" xfId="12" applyBorder="1">
      <alignment horizontal="left"/>
    </xf>
    <xf numFmtId="0" fontId="11" fillId="13" borderId="77" xfId="12" applyBorder="1">
      <alignment horizontal="left"/>
    </xf>
    <xf numFmtId="0" fontId="11" fillId="13" borderId="78" xfId="12" applyBorder="1">
      <alignment horizontal="left"/>
    </xf>
    <xf numFmtId="0" fontId="11" fillId="13" borderId="79" xfId="12" applyBorder="1">
      <alignment horizontal="left"/>
    </xf>
    <xf numFmtId="0" fontId="6" fillId="35" borderId="80" xfId="0" applyFont="1" applyFill="1" applyBorder="1"/>
    <xf numFmtId="0" fontId="48" fillId="13" borderId="78" xfId="12" applyFont="1" applyBorder="1" applyAlignment="1"/>
    <xf numFmtId="174" fontId="48" fillId="13" borderId="79" xfId="12" applyNumberFormat="1" applyFont="1" applyBorder="1" applyAlignment="1">
      <alignment horizontal="center"/>
    </xf>
    <xf numFmtId="174" fontId="0" fillId="0" borderId="83" xfId="0" applyNumberFormat="1" applyBorder="1"/>
    <xf numFmtId="174" fontId="4" fillId="16" borderId="83" xfId="14" applyNumberFormat="1" applyFont="1" applyFill="1" applyBorder="1" applyAlignment="1">
      <alignment horizontal="center"/>
    </xf>
    <xf numFmtId="0" fontId="0" fillId="0" borderId="83" xfId="0" applyBorder="1"/>
    <xf numFmtId="174" fontId="4" fillId="16" borderId="84" xfId="14" applyNumberFormat="1" applyFont="1" applyFill="1" applyBorder="1"/>
    <xf numFmtId="174" fontId="4" fillId="16" borderId="81" xfId="14" applyNumberFormat="1" applyFont="1" applyFill="1" applyBorder="1" applyAlignment="1">
      <alignment horizontal="right" indent="1"/>
    </xf>
    <xf numFmtId="0" fontId="11" fillId="13" borderId="86" xfId="12" applyBorder="1">
      <alignment horizontal="left"/>
    </xf>
    <xf numFmtId="174" fontId="51" fillId="16" borderId="88" xfId="14" applyNumberFormat="1" applyFont="1" applyFill="1" applyBorder="1" applyAlignment="1">
      <alignment horizontal="right" indent="1"/>
    </xf>
    <xf numFmtId="0" fontId="11" fillId="13" borderId="78" xfId="12" applyBorder="1" applyAlignment="1"/>
    <xf numFmtId="174" fontId="4" fillId="35" borderId="81" xfId="14" applyNumberFormat="1" applyFont="1" applyFill="1" applyBorder="1" applyAlignment="1">
      <alignment horizontal="right"/>
    </xf>
    <xf numFmtId="174" fontId="11" fillId="13" borderId="79" xfId="12" applyNumberFormat="1" applyBorder="1" applyAlignment="1">
      <alignment horizontal="right"/>
    </xf>
    <xf numFmtId="174" fontId="4" fillId="35" borderId="82" xfId="14" applyNumberFormat="1" applyFont="1" applyFill="1" applyBorder="1" applyAlignment="1">
      <alignment horizontal="right"/>
    </xf>
    <xf numFmtId="174" fontId="0" fillId="0" borderId="31" xfId="0" applyNumberFormat="1" applyBorder="1"/>
    <xf numFmtId="0" fontId="0" fillId="0" borderId="31" xfId="0" applyBorder="1"/>
    <xf numFmtId="10" fontId="4" fillId="16" borderId="81" xfId="14" applyNumberFormat="1" applyFont="1" applyFill="1" applyBorder="1" applyAlignment="1">
      <alignment horizontal="right" indent="1"/>
    </xf>
    <xf numFmtId="0" fontId="29" fillId="2" borderId="0" xfId="27" applyFill="1"/>
    <xf numFmtId="0" fontId="29" fillId="2" borderId="0" xfId="14" applyFill="1"/>
    <xf numFmtId="0" fontId="41" fillId="2" borderId="0" xfId="22" applyFill="1"/>
    <xf numFmtId="0" fontId="6" fillId="17" borderId="80" xfId="14" applyFont="1" applyFill="1" applyBorder="1" applyAlignment="1" applyProtection="1">
      <alignment horizontal="center" wrapText="1"/>
      <protection locked="0"/>
    </xf>
    <xf numFmtId="0" fontId="6" fillId="35" borderId="80" xfId="14" applyFont="1" applyFill="1" applyBorder="1" applyAlignment="1">
      <alignment horizontal="center" wrapText="1"/>
    </xf>
    <xf numFmtId="0" fontId="11" fillId="13" borderId="85" xfId="12" applyBorder="1">
      <alignment horizontal="left"/>
    </xf>
    <xf numFmtId="0" fontId="11" fillId="13" borderId="92" xfId="12" applyBorder="1">
      <alignment horizontal="left"/>
    </xf>
    <xf numFmtId="0" fontId="2" fillId="38" borderId="0" xfId="0" applyFont="1" applyFill="1"/>
    <xf numFmtId="0" fontId="3" fillId="0" borderId="41" xfId="0" applyFont="1" applyBorder="1"/>
    <xf numFmtId="0" fontId="8" fillId="5" borderId="93" xfId="3" applyBorder="1"/>
    <xf numFmtId="0" fontId="11" fillId="13" borderId="0" xfId="38">
      <alignment horizontal="center" vertical="center" textRotation="90"/>
    </xf>
    <xf numFmtId="0" fontId="0" fillId="42" borderId="0" xfId="0" applyFill="1"/>
    <xf numFmtId="0" fontId="0" fillId="43" borderId="0" xfId="0" applyFill="1"/>
    <xf numFmtId="0" fontId="0" fillId="18" borderId="0" xfId="0" applyFill="1"/>
    <xf numFmtId="0" fontId="0" fillId="44" borderId="0" xfId="0" applyFill="1"/>
    <xf numFmtId="0" fontId="0" fillId="2" borderId="0" xfId="0" applyFill="1" applyAlignment="1" applyProtection="1">
      <alignment horizontal="center" vertical="top" wrapText="1"/>
      <protection locked="0"/>
    </xf>
    <xf numFmtId="0" fontId="11" fillId="13" borderId="0" xfId="12" applyAlignment="1"/>
    <xf numFmtId="0" fontId="53" fillId="0" borderId="0" xfId="35" applyFill="1"/>
    <xf numFmtId="167" fontId="0" fillId="2" borderId="74" xfId="0" applyNumberFormat="1" applyFill="1" applyBorder="1" applyAlignment="1" applyProtection="1">
      <alignment horizontal="center"/>
      <protection locked="0"/>
    </xf>
    <xf numFmtId="10" fontId="0" fillId="0" borderId="0" xfId="0" applyNumberFormat="1"/>
    <xf numFmtId="9" fontId="2" fillId="0" borderId="0" xfId="0" applyNumberFormat="1" applyFont="1"/>
    <xf numFmtId="9" fontId="0" fillId="16" borderId="42" xfId="0" applyNumberFormat="1" applyFill="1" applyBorder="1" applyAlignment="1">
      <alignment horizontal="center" vertical="center"/>
    </xf>
    <xf numFmtId="0" fontId="55" fillId="45" borderId="98" xfId="0" applyFont="1" applyFill="1" applyBorder="1" applyAlignment="1">
      <alignment horizontal="center"/>
    </xf>
    <xf numFmtId="0" fontId="6" fillId="0" borderId="0" xfId="14" applyFont="1"/>
    <xf numFmtId="0" fontId="4" fillId="0" borderId="0" xfId="14" applyFont="1"/>
    <xf numFmtId="0" fontId="14" fillId="0" borderId="0" xfId="14" applyFont="1"/>
    <xf numFmtId="0" fontId="15" fillId="0" borderId="0" xfId="14" applyFont="1"/>
    <xf numFmtId="0" fontId="16" fillId="0" borderId="0" xfId="14" applyFont="1" applyAlignment="1">
      <alignment horizontal="left" indent="1"/>
    </xf>
    <xf numFmtId="171" fontId="16" fillId="0" borderId="0" xfId="14" applyNumberFormat="1" applyFont="1" applyAlignment="1">
      <alignment horizontal="left" indent="1"/>
    </xf>
    <xf numFmtId="0" fontId="17" fillId="0" borderId="0" xfId="14" applyFont="1" applyAlignment="1">
      <alignment horizontal="right"/>
    </xf>
    <xf numFmtId="0" fontId="18" fillId="0" borderId="0" xfId="15" applyAlignment="1" applyProtection="1">
      <alignment horizontal="left" indent="1"/>
    </xf>
    <xf numFmtId="0" fontId="19" fillId="0" borderId="0" xfId="14" applyFont="1" applyAlignment="1">
      <alignment horizontal="right"/>
    </xf>
    <xf numFmtId="0" fontId="16" fillId="0" borderId="0" xfId="14" applyFont="1"/>
    <xf numFmtId="0" fontId="21" fillId="2" borderId="0" xfId="14" applyFont="1" applyFill="1" applyAlignment="1" applyProtection="1">
      <alignment horizontal="left"/>
      <protection locked="0"/>
    </xf>
    <xf numFmtId="0" fontId="16" fillId="2" borderId="0" xfId="14" applyFont="1" applyFill="1" applyAlignment="1" applyProtection="1">
      <alignment horizontal="left"/>
      <protection locked="0"/>
    </xf>
    <xf numFmtId="0" fontId="16" fillId="0" borderId="0" xfId="14" applyFont="1" applyAlignment="1" applyProtection="1">
      <alignment horizontal="left" indent="1"/>
      <protection locked="0"/>
    </xf>
    <xf numFmtId="0" fontId="16" fillId="17" borderId="0" xfId="14" applyFont="1" applyFill="1" applyAlignment="1" applyProtection="1">
      <alignment horizontal="left"/>
      <protection locked="0"/>
    </xf>
    <xf numFmtId="0" fontId="21" fillId="0" borderId="0" xfId="14" applyFont="1" applyProtection="1">
      <protection locked="0"/>
    </xf>
    <xf numFmtId="0" fontId="22" fillId="0" borderId="0" xfId="14" applyFont="1" applyProtection="1">
      <protection locked="0"/>
    </xf>
    <xf numFmtId="172" fontId="16" fillId="0" borderId="26" xfId="14" applyNumberFormat="1" applyFont="1" applyBorder="1"/>
    <xf numFmtId="0" fontId="19" fillId="18" borderId="96" xfId="14" applyFont="1" applyFill="1" applyBorder="1" applyAlignment="1">
      <alignment horizontal="center" vertical="center"/>
    </xf>
    <xf numFmtId="0" fontId="17" fillId="18" borderId="97" xfId="14" applyFont="1" applyFill="1" applyBorder="1" applyAlignment="1">
      <alignment horizontal="center" vertical="center"/>
    </xf>
    <xf numFmtId="0" fontId="16" fillId="18" borderId="27" xfId="14" applyFont="1" applyFill="1" applyBorder="1" applyAlignment="1">
      <alignment horizontal="center" wrapText="1"/>
    </xf>
    <xf numFmtId="0" fontId="16" fillId="18" borderId="28" xfId="14" applyFont="1" applyFill="1" applyBorder="1" applyAlignment="1">
      <alignment horizontal="center" wrapText="1"/>
    </xf>
    <xf numFmtId="0" fontId="16" fillId="17" borderId="27" xfId="14" applyFont="1" applyFill="1" applyBorder="1" applyAlignment="1">
      <alignment horizontal="center" wrapText="1"/>
    </xf>
    <xf numFmtId="0" fontId="16" fillId="17" borderId="28" xfId="14" applyFont="1" applyFill="1" applyBorder="1" applyAlignment="1">
      <alignment horizontal="center" wrapText="1"/>
    </xf>
    <xf numFmtId="0" fontId="20" fillId="17" borderId="27" xfId="14" applyFont="1" applyFill="1" applyBorder="1" applyAlignment="1" applyProtection="1">
      <alignment horizontal="center" wrapText="1"/>
      <protection locked="0"/>
    </xf>
    <xf numFmtId="0" fontId="20" fillId="17" borderId="28" xfId="14" applyFont="1" applyFill="1" applyBorder="1" applyAlignment="1" applyProtection="1">
      <alignment horizontal="center" wrapText="1"/>
      <protection locked="0"/>
    </xf>
    <xf numFmtId="0" fontId="20" fillId="18" borderId="27" xfId="14" applyFont="1" applyFill="1" applyBorder="1" applyAlignment="1">
      <alignment horizontal="center" wrapText="1"/>
    </xf>
    <xf numFmtId="0" fontId="20" fillId="18" borderId="28" xfId="14" applyFont="1" applyFill="1" applyBorder="1" applyAlignment="1">
      <alignment horizontal="center" wrapText="1"/>
    </xf>
    <xf numFmtId="0" fontId="20" fillId="20" borderId="27" xfId="14" applyFont="1" applyFill="1" applyBorder="1" applyAlignment="1" applyProtection="1">
      <alignment horizontal="center" wrapText="1"/>
      <protection locked="0"/>
    </xf>
    <xf numFmtId="0" fontId="20" fillId="20" borderId="28" xfId="14" applyFont="1" applyFill="1" applyBorder="1" applyAlignment="1" applyProtection="1">
      <alignment horizontal="center" wrapText="1"/>
      <protection locked="0"/>
    </xf>
    <xf numFmtId="0" fontId="20" fillId="18" borderId="27" xfId="14" applyFont="1" applyFill="1" applyBorder="1" applyAlignment="1" applyProtection="1">
      <alignment horizontal="center" wrapText="1"/>
      <protection locked="0"/>
    </xf>
    <xf numFmtId="0" fontId="20" fillId="18" borderId="28" xfId="14" applyFont="1" applyFill="1" applyBorder="1" applyAlignment="1" applyProtection="1">
      <alignment horizontal="center" wrapText="1"/>
      <protection locked="0"/>
    </xf>
    <xf numFmtId="0" fontId="16" fillId="17" borderId="27" xfId="14" applyFont="1" applyFill="1" applyBorder="1" applyAlignment="1" applyProtection="1">
      <alignment horizontal="center" wrapText="1"/>
      <protection locked="0"/>
    </xf>
    <xf numFmtId="0" fontId="16" fillId="17" borderId="28" xfId="14" applyFont="1" applyFill="1" applyBorder="1" applyAlignment="1" applyProtection="1">
      <alignment horizontal="center" wrapText="1"/>
      <protection locked="0"/>
    </xf>
    <xf numFmtId="0" fontId="14" fillId="18" borderId="30" xfId="14" applyFont="1" applyFill="1" applyBorder="1" applyAlignment="1">
      <alignment horizontal="center"/>
    </xf>
    <xf numFmtId="0" fontId="14" fillId="18" borderId="31" xfId="14" applyFont="1" applyFill="1" applyBorder="1" applyAlignment="1">
      <alignment horizontal="center"/>
    </xf>
    <xf numFmtId="0" fontId="16" fillId="2" borderId="0" xfId="31" applyFont="1" applyFill="1" applyAlignment="1" applyProtection="1">
      <alignment horizontal="left"/>
      <protection locked="0"/>
    </xf>
    <xf numFmtId="0" fontId="16" fillId="0" borderId="0" xfId="31" applyFont="1" applyAlignment="1" applyProtection="1">
      <alignment horizontal="left" indent="1"/>
      <protection locked="0"/>
    </xf>
    <xf numFmtId="0" fontId="16" fillId="17" borderId="0" xfId="31" applyFont="1" applyFill="1" applyAlignment="1" applyProtection="1">
      <alignment horizontal="left"/>
      <protection locked="0"/>
    </xf>
    <xf numFmtId="0" fontId="16" fillId="18" borderId="27" xfId="31" applyFont="1" applyFill="1" applyBorder="1" applyAlignment="1">
      <alignment horizontal="center" wrapText="1"/>
    </xf>
    <xf numFmtId="0" fontId="16" fillId="18" borderId="28" xfId="31" applyFont="1" applyFill="1" applyBorder="1" applyAlignment="1">
      <alignment horizontal="center" wrapText="1"/>
    </xf>
    <xf numFmtId="0" fontId="16" fillId="17" borderId="27" xfId="31" applyFont="1" applyFill="1" applyBorder="1" applyAlignment="1">
      <alignment horizontal="center" wrapText="1"/>
    </xf>
    <xf numFmtId="0" fontId="16" fillId="17" borderId="28" xfId="31" applyFont="1" applyFill="1" applyBorder="1" applyAlignment="1">
      <alignment horizontal="center" wrapText="1"/>
    </xf>
    <xf numFmtId="0" fontId="20" fillId="18" borderId="27" xfId="31" applyFont="1" applyFill="1" applyBorder="1" applyAlignment="1">
      <alignment horizontal="center" wrapText="1"/>
    </xf>
    <xf numFmtId="0" fontId="20" fillId="18" borderId="28" xfId="31" applyFont="1" applyFill="1" applyBorder="1" applyAlignment="1">
      <alignment horizontal="center" wrapText="1"/>
    </xf>
    <xf numFmtId="0" fontId="20" fillId="18" borderId="27" xfId="31" applyFont="1" applyFill="1" applyBorder="1" applyAlignment="1" applyProtection="1">
      <alignment horizontal="center" wrapText="1"/>
      <protection locked="0"/>
    </xf>
    <xf numFmtId="0" fontId="20" fillId="18" borderId="28" xfId="31" applyFont="1" applyFill="1" applyBorder="1" applyAlignment="1" applyProtection="1">
      <alignment horizontal="center" wrapText="1"/>
      <protection locked="0"/>
    </xf>
    <xf numFmtId="167" fontId="19" fillId="21" borderId="0" xfId="14" applyNumberFormat="1" applyFont="1" applyFill="1" applyAlignment="1">
      <alignment horizontal="right"/>
    </xf>
    <xf numFmtId="0" fontId="16" fillId="0" borderId="0" xfId="31" applyFont="1" applyAlignment="1">
      <alignment horizontal="left" indent="1"/>
    </xf>
    <xf numFmtId="172" fontId="16" fillId="0" borderId="26" xfId="31" applyNumberFormat="1" applyFont="1" applyBorder="1"/>
    <xf numFmtId="0" fontId="19" fillId="18" borderId="96" xfId="31" applyFont="1" applyFill="1" applyBorder="1" applyAlignment="1">
      <alignment horizontal="center" vertical="center"/>
    </xf>
    <xf numFmtId="0" fontId="17" fillId="18" borderId="97" xfId="31" applyFont="1" applyFill="1" applyBorder="1" applyAlignment="1">
      <alignment horizontal="center" vertical="center"/>
    </xf>
    <xf numFmtId="0" fontId="21" fillId="0" borderId="0" xfId="31" applyFont="1" applyProtection="1">
      <protection locked="0"/>
    </xf>
    <xf numFmtId="0" fontId="22" fillId="0" borderId="0" xfId="31" applyFont="1" applyProtection="1">
      <protection locked="0"/>
    </xf>
    <xf numFmtId="0" fontId="20" fillId="17" borderId="27" xfId="31" applyFont="1" applyFill="1" applyBorder="1" applyAlignment="1" applyProtection="1">
      <alignment horizontal="center" wrapText="1"/>
      <protection locked="0"/>
    </xf>
    <xf numFmtId="0" fontId="20" fillId="17" borderId="28" xfId="31" applyFont="1" applyFill="1" applyBorder="1" applyAlignment="1" applyProtection="1">
      <alignment horizontal="center" wrapText="1"/>
      <protection locked="0"/>
    </xf>
    <xf numFmtId="0" fontId="22" fillId="18" borderId="27" xfId="31" applyFont="1" applyFill="1" applyBorder="1" applyAlignment="1">
      <alignment horizontal="center" wrapText="1"/>
    </xf>
    <xf numFmtId="0" fontId="6" fillId="0" borderId="0" xfId="31" applyFont="1"/>
    <xf numFmtId="0" fontId="4" fillId="0" borderId="0" xfId="31" applyFont="1"/>
    <xf numFmtId="0" fontId="14" fillId="0" borderId="0" xfId="31" applyFont="1"/>
    <xf numFmtId="0" fontId="15" fillId="0" borderId="0" xfId="31" applyFont="1"/>
    <xf numFmtId="0" fontId="20" fillId="20" borderId="27" xfId="31" applyFont="1" applyFill="1" applyBorder="1" applyAlignment="1" applyProtection="1">
      <alignment horizontal="center" wrapText="1"/>
      <protection locked="0"/>
    </xf>
    <xf numFmtId="0" fontId="20" fillId="20" borderId="28" xfId="31" applyFont="1" applyFill="1" applyBorder="1" applyAlignment="1" applyProtection="1">
      <alignment horizontal="center" wrapText="1"/>
      <protection locked="0"/>
    </xf>
    <xf numFmtId="0" fontId="16" fillId="17" borderId="27" xfId="31" applyFont="1" applyFill="1" applyBorder="1" applyAlignment="1" applyProtection="1">
      <alignment horizontal="center" wrapText="1"/>
      <protection locked="0"/>
    </xf>
    <xf numFmtId="0" fontId="16" fillId="17" borderId="28" xfId="31" applyFont="1" applyFill="1" applyBorder="1" applyAlignment="1" applyProtection="1">
      <alignment horizontal="center" wrapText="1"/>
      <protection locked="0"/>
    </xf>
    <xf numFmtId="171" fontId="16" fillId="0" borderId="0" xfId="31" applyNumberFormat="1" applyFont="1" applyAlignment="1">
      <alignment horizontal="left" indent="1"/>
    </xf>
    <xf numFmtId="0" fontId="17" fillId="0" borderId="0" xfId="31" applyFont="1" applyAlignment="1">
      <alignment horizontal="right"/>
    </xf>
    <xf numFmtId="0" fontId="19" fillId="0" borderId="0" xfId="31" applyFont="1" applyAlignment="1">
      <alignment horizontal="right"/>
    </xf>
    <xf numFmtId="0" fontId="16" fillId="0" borderId="0" xfId="31" applyFont="1"/>
    <xf numFmtId="0" fontId="30" fillId="2" borderId="0" xfId="31" applyFont="1" applyFill="1" applyAlignment="1" applyProtection="1">
      <alignment horizontal="left"/>
      <protection locked="0"/>
    </xf>
    <xf numFmtId="0" fontId="31" fillId="2" borderId="0" xfId="31" applyFont="1" applyFill="1" applyAlignment="1" applyProtection="1">
      <alignment horizontal="left"/>
      <protection locked="0"/>
    </xf>
    <xf numFmtId="0" fontId="14" fillId="18" borderId="30" xfId="31" applyFont="1" applyFill="1" applyBorder="1" applyAlignment="1">
      <alignment horizontal="center"/>
    </xf>
    <xf numFmtId="0" fontId="14" fillId="18" borderId="31" xfId="31" applyFont="1" applyFill="1" applyBorder="1" applyAlignment="1">
      <alignment horizontal="center"/>
    </xf>
    <xf numFmtId="167" fontId="19" fillId="21" borderId="0" xfId="31" applyNumberFormat="1" applyFont="1" applyFill="1" applyAlignment="1">
      <alignment horizontal="right"/>
    </xf>
    <xf numFmtId="0" fontId="21" fillId="2" borderId="0" xfId="31" applyFont="1" applyFill="1" applyAlignment="1" applyProtection="1">
      <alignment horizontal="left"/>
      <protection locked="0"/>
    </xf>
    <xf numFmtId="0" fontId="19" fillId="18" borderId="24" xfId="31" applyFont="1" applyFill="1" applyBorder="1" applyAlignment="1">
      <alignment horizontal="center" vertical="center"/>
    </xf>
    <xf numFmtId="0" fontId="17" fillId="18" borderId="24" xfId="31" applyFont="1" applyFill="1" applyBorder="1" applyAlignment="1">
      <alignment horizontal="center" vertical="center"/>
    </xf>
    <xf numFmtId="0" fontId="22" fillId="2" borderId="0" xfId="31" applyFont="1" applyFill="1" applyAlignment="1" applyProtection="1">
      <alignment horizontal="left"/>
      <protection locked="0"/>
    </xf>
    <xf numFmtId="167" fontId="19" fillId="21" borderId="0" xfId="22" applyNumberFormat="1" applyFont="1" applyFill="1" applyAlignment="1">
      <alignment horizontal="right"/>
    </xf>
    <xf numFmtId="0" fontId="25" fillId="0" borderId="0" xfId="22" applyFont="1" applyAlignment="1">
      <alignment horizontal="center"/>
    </xf>
    <xf numFmtId="0" fontId="16" fillId="17" borderId="27" xfId="22" applyFont="1" applyFill="1" applyBorder="1" applyAlignment="1" applyProtection="1">
      <alignment horizontal="center" wrapText="1"/>
      <protection locked="0"/>
    </xf>
    <xf numFmtId="0" fontId="16" fillId="17" borderId="28" xfId="22" applyFont="1" applyFill="1" applyBorder="1" applyAlignment="1" applyProtection="1">
      <alignment horizontal="center" wrapText="1"/>
      <protection locked="0"/>
    </xf>
    <xf numFmtId="0" fontId="16" fillId="18" borderId="27" xfId="22" applyFont="1" applyFill="1" applyBorder="1" applyAlignment="1">
      <alignment horizontal="center" wrapText="1"/>
    </xf>
    <xf numFmtId="0" fontId="16" fillId="18" borderId="28" xfId="22" applyFont="1" applyFill="1" applyBorder="1" applyAlignment="1">
      <alignment horizontal="center" wrapText="1"/>
    </xf>
    <xf numFmtId="0" fontId="20" fillId="18" borderId="27" xfId="22" applyFont="1" applyFill="1" applyBorder="1" applyAlignment="1">
      <alignment horizontal="center" wrapText="1"/>
    </xf>
    <xf numFmtId="0" fontId="20" fillId="18" borderId="28" xfId="22" applyFont="1" applyFill="1" applyBorder="1" applyAlignment="1">
      <alignment horizontal="center" wrapText="1"/>
    </xf>
    <xf numFmtId="0" fontId="14" fillId="18" borderId="30" xfId="22" applyFont="1" applyFill="1" applyBorder="1" applyAlignment="1">
      <alignment horizontal="center"/>
    </xf>
    <xf numFmtId="0" fontId="14" fillId="18" borderId="31" xfId="22" applyFont="1" applyFill="1" applyBorder="1" applyAlignment="1">
      <alignment horizontal="center"/>
    </xf>
    <xf numFmtId="0" fontId="20" fillId="17" borderId="27" xfId="22" applyFont="1" applyFill="1" applyBorder="1" applyAlignment="1" applyProtection="1">
      <alignment horizontal="center" wrapText="1"/>
      <protection locked="0"/>
    </xf>
    <xf numFmtId="0" fontId="20" fillId="17" borderId="28" xfId="22" applyFont="1" applyFill="1" applyBorder="1" applyAlignment="1" applyProtection="1">
      <alignment horizontal="center" wrapText="1"/>
      <protection locked="0"/>
    </xf>
    <xf numFmtId="0" fontId="16" fillId="17" borderId="27" xfId="22" applyFont="1" applyFill="1" applyBorder="1" applyAlignment="1">
      <alignment horizontal="center" wrapText="1"/>
    </xf>
    <xf numFmtId="0" fontId="16" fillId="17" borderId="28" xfId="22" applyFont="1" applyFill="1" applyBorder="1" applyAlignment="1">
      <alignment horizontal="center" wrapText="1"/>
    </xf>
    <xf numFmtId="0" fontId="20" fillId="20" borderId="27" xfId="22" applyFont="1" applyFill="1" applyBorder="1" applyAlignment="1" applyProtection="1">
      <alignment horizontal="center" wrapText="1"/>
      <protection locked="0"/>
    </xf>
    <xf numFmtId="0" fontId="20" fillId="20" borderId="28" xfId="22" applyFont="1" applyFill="1" applyBorder="1" applyAlignment="1" applyProtection="1">
      <alignment horizontal="center" wrapText="1"/>
      <protection locked="0"/>
    </xf>
    <xf numFmtId="0" fontId="16" fillId="2" borderId="0" xfId="22" applyFont="1" applyFill="1" applyAlignment="1" applyProtection="1">
      <alignment horizontal="left"/>
      <protection locked="0"/>
    </xf>
    <xf numFmtId="0" fontId="16" fillId="0" borderId="0" xfId="22" applyFont="1" applyAlignment="1" applyProtection="1">
      <alignment horizontal="left" indent="1"/>
      <protection locked="0"/>
    </xf>
    <xf numFmtId="0" fontId="21" fillId="0" borderId="0" xfId="22" applyFont="1" applyProtection="1">
      <protection locked="0"/>
    </xf>
    <xf numFmtId="0" fontId="22" fillId="0" borderId="0" xfId="22" applyFont="1" applyProtection="1">
      <protection locked="0"/>
    </xf>
    <xf numFmtId="172" fontId="16" fillId="0" borderId="26" xfId="22" applyNumberFormat="1" applyFont="1" applyBorder="1"/>
    <xf numFmtId="0" fontId="19" fillId="18" borderId="24" xfId="22" applyFont="1" applyFill="1" applyBorder="1" applyAlignment="1">
      <alignment horizontal="center" vertical="center"/>
    </xf>
    <xf numFmtId="0" fontId="17" fillId="18" borderId="24" xfId="22" applyFont="1" applyFill="1" applyBorder="1" applyAlignment="1">
      <alignment horizontal="center" vertical="center"/>
    </xf>
    <xf numFmtId="0" fontId="22" fillId="2" borderId="0" xfId="22" applyFont="1" applyFill="1" applyAlignment="1" applyProtection="1">
      <alignment horizontal="left"/>
      <protection locked="0"/>
    </xf>
    <xf numFmtId="0" fontId="16" fillId="0" borderId="0" xfId="22" applyFont="1" applyAlignment="1">
      <alignment horizontal="left" indent="1"/>
    </xf>
    <xf numFmtId="171" fontId="16" fillId="0" borderId="0" xfId="22" applyNumberFormat="1" applyFont="1" applyAlignment="1">
      <alignment horizontal="left" indent="1"/>
    </xf>
    <xf numFmtId="0" fontId="17" fillId="0" borderId="0" xfId="22" applyFont="1" applyAlignment="1">
      <alignment horizontal="right"/>
    </xf>
    <xf numFmtId="0" fontId="19" fillId="0" borderId="0" xfId="22" applyFont="1" applyAlignment="1">
      <alignment horizontal="right"/>
    </xf>
    <xf numFmtId="0" fontId="16" fillId="0" borderId="0" xfId="22" applyFont="1"/>
    <xf numFmtId="0" fontId="21" fillId="2" borderId="0" xfId="22" applyFont="1" applyFill="1" applyAlignment="1" applyProtection="1">
      <alignment horizontal="left"/>
      <protection locked="0"/>
    </xf>
    <xf numFmtId="0" fontId="16" fillId="17" borderId="0" xfId="22" applyFont="1" applyFill="1" applyAlignment="1" applyProtection="1">
      <alignment horizontal="left"/>
      <protection locked="0"/>
    </xf>
    <xf numFmtId="0" fontId="6" fillId="0" borderId="0" xfId="22" applyFont="1"/>
    <xf numFmtId="0" fontId="4" fillId="0" borderId="0" xfId="22" applyFont="1"/>
    <xf numFmtId="0" fontId="14" fillId="0" borderId="0" xfId="22" applyFont="1"/>
    <xf numFmtId="0" fontId="15" fillId="0" borderId="0" xfId="22" applyFont="1"/>
    <xf numFmtId="167" fontId="7" fillId="2" borderId="0" xfId="2" applyFont="1" applyFill="1" applyAlignment="1">
      <alignment horizontal="center"/>
    </xf>
    <xf numFmtId="0" fontId="13" fillId="12" borderId="0" xfId="0" applyFont="1" applyFill="1" applyAlignment="1">
      <alignment horizontal="center" vertical="center"/>
    </xf>
    <xf numFmtId="0" fontId="32" fillId="2" borderId="0" xfId="4" applyFont="1" applyFill="1" applyBorder="1" applyAlignment="1">
      <alignment horizontal="center" vertical="top" wrapText="1"/>
      <protection locked="0"/>
    </xf>
    <xf numFmtId="0" fontId="11" fillId="2" borderId="0" xfId="4" applyFont="1" applyFill="1" applyBorder="1" applyAlignment="1">
      <alignment horizontal="center" vertical="top" wrapText="1"/>
      <protection locked="0"/>
    </xf>
    <xf numFmtId="167" fontId="6" fillId="2" borderId="64" xfId="2" applyFont="1" applyFill="1" applyBorder="1" applyAlignment="1">
      <alignment horizontal="left"/>
    </xf>
    <xf numFmtId="0" fontId="0" fillId="2" borderId="0" xfId="0" applyFill="1"/>
    <xf numFmtId="167" fontId="0" fillId="2" borderId="9" xfId="0" applyNumberFormat="1" applyFill="1" applyBorder="1" applyAlignment="1" applyProtection="1">
      <alignment horizontal="center"/>
      <protection locked="0"/>
    </xf>
    <xf numFmtId="0" fontId="0" fillId="2" borderId="10" xfId="0" applyFill="1" applyBorder="1" applyAlignment="1" applyProtection="1">
      <alignment horizontal="center"/>
      <protection locked="0"/>
    </xf>
    <xf numFmtId="0" fontId="0" fillId="2" borderId="9" xfId="0" applyFill="1" applyBorder="1" applyAlignment="1" applyProtection="1">
      <alignment horizontal="left" vertical="top" wrapText="1"/>
      <protection locked="0"/>
    </xf>
    <xf numFmtId="0" fontId="0" fillId="2" borderId="14" xfId="0" applyFill="1" applyBorder="1" applyAlignment="1" applyProtection="1">
      <alignment horizontal="left" vertical="top" wrapText="1"/>
      <protection locked="0"/>
    </xf>
    <xf numFmtId="0" fontId="0" fillId="2" borderId="10" xfId="0" applyFill="1" applyBorder="1" applyAlignment="1" applyProtection="1">
      <alignment horizontal="left" vertical="top" wrapText="1"/>
      <protection locked="0"/>
    </xf>
    <xf numFmtId="166" fontId="0" fillId="2" borderId="9" xfId="0" applyNumberFormat="1" applyFill="1" applyBorder="1" applyAlignment="1" applyProtection="1">
      <alignment horizontal="center" vertical="top" wrapText="1"/>
      <protection locked="0"/>
    </xf>
    <xf numFmtId="0" fontId="0" fillId="2" borderId="10" xfId="0" applyFill="1" applyBorder="1" applyAlignment="1" applyProtection="1">
      <alignment horizontal="center" vertical="top" wrapText="1"/>
      <protection locked="0"/>
    </xf>
    <xf numFmtId="0" fontId="0" fillId="2" borderId="9" xfId="0" applyFill="1" applyBorder="1" applyAlignment="1" applyProtection="1">
      <alignment horizontal="center" vertical="top" wrapText="1"/>
      <protection locked="0"/>
    </xf>
    <xf numFmtId="0" fontId="0" fillId="0" borderId="0" xfId="0"/>
    <xf numFmtId="0" fontId="11" fillId="41" borderId="0" xfId="38" applyFill="1">
      <alignment horizontal="center" vertical="center" textRotation="90"/>
    </xf>
    <xf numFmtId="0" fontId="11" fillId="40" borderId="0" xfId="38" applyFill="1">
      <alignment horizontal="center" vertical="center" textRotation="90"/>
    </xf>
    <xf numFmtId="0" fontId="11" fillId="39" borderId="0" xfId="38" applyFill="1">
      <alignment horizontal="center" vertical="center" textRotation="90"/>
    </xf>
    <xf numFmtId="0" fontId="11" fillId="22" borderId="0" xfId="12" applyFill="1" applyAlignment="1">
      <alignment horizontal="center" vertical="center" textRotation="90"/>
    </xf>
    <xf numFmtId="0" fontId="11" fillId="13" borderId="0" xfId="12" applyAlignment="1">
      <alignment horizontal="center"/>
    </xf>
    <xf numFmtId="0" fontId="11" fillId="13" borderId="94" xfId="12" applyBorder="1" applyAlignment="1">
      <alignment horizontal="center"/>
    </xf>
    <xf numFmtId="0" fontId="11" fillId="13" borderId="0" xfId="38">
      <alignment horizontal="center" vertical="center" textRotation="90"/>
    </xf>
    <xf numFmtId="10" fontId="2" fillId="16" borderId="1" xfId="0" applyNumberFormat="1" applyFont="1" applyFill="1" applyBorder="1" applyAlignment="1">
      <alignment horizontal="right"/>
    </xf>
    <xf numFmtId="0" fontId="40" fillId="13" borderId="41" xfId="0" applyFont="1" applyFill="1" applyBorder="1" applyAlignment="1">
      <alignment horizontal="right"/>
    </xf>
    <xf numFmtId="10" fontId="38" fillId="13" borderId="0" xfId="0" applyNumberFormat="1" applyFont="1" applyFill="1" applyAlignment="1">
      <alignment horizontal="right"/>
    </xf>
    <xf numFmtId="169" fontId="0" fillId="16" borderId="1" xfId="0" applyNumberFormat="1" applyFill="1" applyBorder="1" applyAlignment="1">
      <alignment horizontal="center" vertical="center"/>
    </xf>
    <xf numFmtId="169" fontId="0" fillId="16" borderId="95" xfId="0" applyNumberFormat="1" applyFill="1" applyBorder="1" applyAlignment="1">
      <alignment horizontal="center" vertical="center"/>
    </xf>
    <xf numFmtId="169" fontId="9" fillId="16" borderId="48" xfId="0" applyNumberFormat="1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169" fontId="40" fillId="13" borderId="41" xfId="0" applyNumberFormat="1" applyFont="1" applyFill="1" applyBorder="1" applyAlignment="1">
      <alignment horizontal="center" vertical="center"/>
    </xf>
    <xf numFmtId="169" fontId="38" fillId="13" borderId="0" xfId="0" applyNumberFormat="1" applyFont="1" applyFill="1" applyAlignment="1">
      <alignment horizontal="center" vertical="center"/>
    </xf>
    <xf numFmtId="0" fontId="2" fillId="29" borderId="0" xfId="21" applyFont="1" applyAlignment="1">
      <alignment horizontal="right"/>
    </xf>
    <xf numFmtId="0" fontId="39" fillId="26" borderId="0" xfId="19" applyAlignment="1">
      <alignment horizontal="right"/>
    </xf>
    <xf numFmtId="0" fontId="39" fillId="26" borderId="0" xfId="19" applyBorder="1" applyAlignment="1">
      <alignment horizontal="right"/>
    </xf>
    <xf numFmtId="0" fontId="11" fillId="12" borderId="0" xfId="0" applyFont="1" applyFill="1" applyAlignment="1">
      <alignment horizontal="center"/>
    </xf>
    <xf numFmtId="0" fontId="11" fillId="12" borderId="0" xfId="0" applyFont="1" applyFill="1" applyAlignment="1">
      <alignment horizontal="right"/>
    </xf>
    <xf numFmtId="0" fontId="0" fillId="0" borderId="0" xfId="0" applyAlignment="1">
      <alignment horizontal="left"/>
    </xf>
    <xf numFmtId="0" fontId="0" fillId="2" borderId="47" xfId="0" applyFill="1" applyBorder="1" applyAlignment="1">
      <alignment horizontal="left"/>
    </xf>
    <xf numFmtId="0" fontId="0" fillId="2" borderId="53" xfId="0" applyFill="1" applyBorder="1" applyAlignment="1">
      <alignment horizontal="left"/>
    </xf>
    <xf numFmtId="0" fontId="0" fillId="2" borderId="48" xfId="0" applyFill="1" applyBorder="1" applyAlignment="1">
      <alignment horizontal="left"/>
    </xf>
    <xf numFmtId="0" fontId="0" fillId="2" borderId="44" xfId="0" applyFill="1" applyBorder="1" applyAlignment="1">
      <alignment horizontal="left"/>
    </xf>
    <xf numFmtId="0" fontId="0" fillId="2" borderId="47" xfId="0" applyFill="1" applyBorder="1" applyAlignment="1" applyProtection="1">
      <alignment horizontal="left"/>
      <protection locked="0"/>
    </xf>
    <xf numFmtId="0" fontId="0" fillId="2" borderId="53" xfId="0" applyFill="1" applyBorder="1" applyAlignment="1" applyProtection="1">
      <alignment horizontal="left"/>
      <protection locked="0"/>
    </xf>
    <xf numFmtId="0" fontId="11" fillId="28" borderId="0" xfId="6" applyFont="1" applyFill="1" applyAlignment="1">
      <alignment horizontal="left"/>
    </xf>
    <xf numFmtId="0" fontId="0" fillId="2" borderId="0" xfId="0" applyFill="1" applyAlignment="1">
      <alignment horizontal="right"/>
    </xf>
    <xf numFmtId="0" fontId="0" fillId="2" borderId="18" xfId="0" applyFill="1" applyBorder="1" applyAlignment="1">
      <alignment horizontal="right"/>
    </xf>
    <xf numFmtId="0" fontId="11" fillId="28" borderId="0" xfId="12" applyFill="1">
      <alignment horizontal="left"/>
    </xf>
    <xf numFmtId="0" fontId="10" fillId="6" borderId="38" xfId="5" applyBorder="1" applyAlignment="1" applyProtection="1">
      <alignment horizontal="left"/>
      <protection locked="0"/>
    </xf>
    <xf numFmtId="0" fontId="10" fillId="6" borderId="39" xfId="5" applyBorder="1" applyAlignment="1" applyProtection="1">
      <alignment horizontal="left"/>
      <protection locked="0"/>
    </xf>
    <xf numFmtId="0" fontId="10" fillId="6" borderId="40" xfId="5" applyBorder="1" applyAlignment="1" applyProtection="1">
      <alignment horizontal="left"/>
      <protection locked="0"/>
    </xf>
    <xf numFmtId="0" fontId="0" fillId="2" borderId="49" xfId="0" applyFill="1" applyBorder="1" applyAlignment="1">
      <alignment horizontal="left"/>
    </xf>
    <xf numFmtId="0" fontId="0" fillId="2" borderId="0" xfId="0" applyFill="1" applyAlignment="1">
      <alignment horizontal="center"/>
    </xf>
    <xf numFmtId="0" fontId="34" fillId="28" borderId="0" xfId="0" applyFont="1" applyFill="1"/>
    <xf numFmtId="0" fontId="3" fillId="2" borderId="0" xfId="0" applyFont="1" applyFill="1" applyAlignment="1">
      <alignment horizontal="left"/>
    </xf>
    <xf numFmtId="0" fontId="7" fillId="27" borderId="0" xfId="20" applyAlignment="1">
      <alignment horizontal="center" vertical="top" wrapText="1"/>
    </xf>
    <xf numFmtId="0" fontId="7" fillId="27" borderId="0" xfId="20" applyAlignment="1">
      <alignment horizontal="center" vertical="top"/>
    </xf>
    <xf numFmtId="9" fontId="7" fillId="27" borderId="0" xfId="20" applyNumberFormat="1" applyAlignment="1" applyProtection="1">
      <alignment horizontal="center" vertical="center"/>
      <protection locked="0"/>
    </xf>
    <xf numFmtId="9" fontId="39" fillId="26" borderId="36" xfId="19" applyNumberFormat="1" applyBorder="1" applyAlignment="1" applyProtection="1">
      <alignment horizontal="center" vertical="center"/>
    </xf>
    <xf numFmtId="9" fontId="39" fillId="26" borderId="0" xfId="19" applyNumberFormat="1" applyBorder="1" applyAlignment="1" applyProtection="1">
      <alignment horizontal="center" vertical="center"/>
    </xf>
    <xf numFmtId="0" fontId="39" fillId="26" borderId="0" xfId="19" applyAlignment="1" applyProtection="1">
      <alignment horizontal="center" vertical="center"/>
      <protection locked="0"/>
    </xf>
    <xf numFmtId="0" fontId="39" fillId="26" borderId="0" xfId="19" applyAlignment="1">
      <alignment horizontal="center" vertical="center"/>
    </xf>
    <xf numFmtId="0" fontId="0" fillId="2" borderId="20" xfId="0" applyFill="1" applyBorder="1" applyAlignment="1">
      <alignment horizontal="right"/>
    </xf>
    <xf numFmtId="0" fontId="0" fillId="2" borderId="19" xfId="0" applyFill="1" applyBorder="1" applyAlignment="1">
      <alignment horizontal="right"/>
    </xf>
    <xf numFmtId="0" fontId="2" fillId="2" borderId="0" xfId="0" applyFont="1" applyFill="1" applyAlignment="1" applyProtection="1">
      <alignment horizontal="center" vertical="center"/>
      <protection locked="0"/>
    </xf>
    <xf numFmtId="169" fontId="39" fillId="26" borderId="0" xfId="19" applyNumberFormat="1" applyAlignment="1">
      <alignment horizontal="center" vertical="center"/>
    </xf>
    <xf numFmtId="169" fontId="39" fillId="26" borderId="11" xfId="19" applyNumberFormat="1" applyBorder="1" applyAlignment="1">
      <alignment horizontal="center" vertical="center"/>
    </xf>
    <xf numFmtId="0" fontId="39" fillId="26" borderId="37" xfId="19" applyBorder="1" applyAlignment="1">
      <alignment horizontal="center" vertical="center"/>
    </xf>
    <xf numFmtId="0" fontId="3" fillId="0" borderId="41" xfId="0" applyFont="1" applyBorder="1" applyAlignment="1">
      <alignment horizontal="center"/>
    </xf>
    <xf numFmtId="0" fontId="11" fillId="12" borderId="0" xfId="10" applyFont="1" applyFill="1" applyAlignment="1">
      <alignment horizontal="right"/>
    </xf>
    <xf numFmtId="0" fontId="0" fillId="2" borderId="17" xfId="0" applyFill="1" applyBorder="1" applyAlignment="1">
      <alignment horizontal="right"/>
    </xf>
    <xf numFmtId="0" fontId="0" fillId="2" borderId="0" xfId="0" applyFill="1" applyAlignment="1">
      <alignment horizontal="right" vertical="top"/>
    </xf>
    <xf numFmtId="0" fontId="0" fillId="2" borderId="18" xfId="0" applyFill="1" applyBorder="1" applyAlignment="1">
      <alignment horizontal="right" vertical="top"/>
    </xf>
    <xf numFmtId="0" fontId="52" fillId="2" borderId="0" xfId="0" applyFont="1" applyFill="1" applyAlignment="1">
      <alignment horizontal="center"/>
    </xf>
    <xf numFmtId="0" fontId="48" fillId="13" borderId="86" xfId="12" applyFont="1" applyBorder="1" applyAlignment="1">
      <alignment horizontal="right"/>
    </xf>
    <xf numFmtId="0" fontId="48" fillId="13" borderId="87" xfId="12" applyFont="1" applyBorder="1" applyAlignment="1">
      <alignment horizontal="right"/>
    </xf>
    <xf numFmtId="0" fontId="6" fillId="35" borderId="2" xfId="12" applyFont="1" applyFill="1" applyBorder="1" applyAlignment="1">
      <alignment horizontal="right"/>
    </xf>
    <xf numFmtId="0" fontId="11" fillId="13" borderId="0" xfId="12">
      <alignment horizontal="left"/>
    </xf>
    <xf numFmtId="0" fontId="11" fillId="13" borderId="0" xfId="12" applyAlignment="1">
      <alignment horizontal="right"/>
    </xf>
    <xf numFmtId="0" fontId="11" fillId="13" borderId="20" xfId="12" applyBorder="1" applyAlignment="1">
      <alignment horizontal="right"/>
    </xf>
    <xf numFmtId="0" fontId="0" fillId="2" borderId="89" xfId="0" applyFill="1" applyBorder="1" applyAlignment="1" applyProtection="1">
      <alignment horizontal="center" vertical="top" wrapText="1"/>
      <protection locked="0"/>
    </xf>
    <xf numFmtId="0" fontId="0" fillId="2" borderId="90" xfId="0" applyFill="1" applyBorder="1" applyAlignment="1" applyProtection="1">
      <alignment horizontal="center" vertical="top" wrapText="1"/>
      <protection locked="0"/>
    </xf>
    <xf numFmtId="0" fontId="0" fillId="2" borderId="91" xfId="0" applyFill="1" applyBorder="1" applyAlignment="1" applyProtection="1">
      <alignment horizontal="center" vertical="top" wrapText="1"/>
      <protection locked="0"/>
    </xf>
    <xf numFmtId="0" fontId="19" fillId="18" borderId="24" xfId="14" applyFont="1" applyFill="1" applyBorder="1" applyAlignment="1">
      <alignment horizontal="center" vertical="center"/>
    </xf>
    <xf numFmtId="0" fontId="17" fillId="18" borderId="24" xfId="14" applyFont="1" applyFill="1" applyBorder="1" applyAlignment="1">
      <alignment horizontal="center" vertical="center"/>
    </xf>
    <xf numFmtId="0" fontId="25" fillId="0" borderId="0" xfId="14" applyFont="1" applyAlignment="1">
      <alignment horizontal="center"/>
    </xf>
    <xf numFmtId="0" fontId="30" fillId="2" borderId="0" xfId="22" applyFont="1" applyFill="1" applyAlignment="1" applyProtection="1">
      <alignment horizontal="left"/>
      <protection locked="0"/>
    </xf>
    <xf numFmtId="0" fontId="31" fillId="2" borderId="0" xfId="22" applyFont="1" applyFill="1" applyAlignment="1" applyProtection="1">
      <alignment horizontal="left"/>
      <protection locked="0"/>
    </xf>
    <xf numFmtId="0" fontId="20" fillId="18" borderId="27" xfId="22" applyFont="1" applyFill="1" applyBorder="1" applyAlignment="1" applyProtection="1">
      <alignment horizontal="center" wrapText="1"/>
      <protection locked="0"/>
    </xf>
    <xf numFmtId="0" fontId="20" fillId="18" borderId="28" xfId="22" applyFont="1" applyFill="1" applyBorder="1" applyAlignment="1" applyProtection="1">
      <alignment horizontal="center" wrapText="1"/>
      <protection locked="0"/>
    </xf>
    <xf numFmtId="0" fontId="22" fillId="18" borderId="27" xfId="22" applyFont="1" applyFill="1" applyBorder="1" applyAlignment="1">
      <alignment horizontal="center" wrapText="1"/>
    </xf>
    <xf numFmtId="0" fontId="2" fillId="0" borderId="0" xfId="0" applyFont="1"/>
    <xf numFmtId="0" fontId="0" fillId="2" borderId="68" xfId="0" applyFill="1" applyBorder="1" applyAlignment="1" applyProtection="1">
      <alignment horizontal="left" vertical="top" wrapText="1"/>
      <protection locked="0"/>
    </xf>
    <xf numFmtId="0" fontId="0" fillId="2" borderId="69" xfId="0" applyFill="1" applyBorder="1" applyAlignment="1" applyProtection="1">
      <alignment horizontal="left" vertical="top" wrapText="1"/>
      <protection locked="0"/>
    </xf>
    <xf numFmtId="0" fontId="0" fillId="2" borderId="70" xfId="0" applyFill="1" applyBorder="1" applyAlignment="1" applyProtection="1">
      <alignment horizontal="left" vertical="top" wrapText="1"/>
      <protection locked="0"/>
    </xf>
    <xf numFmtId="0" fontId="2" fillId="16" borderId="72" xfId="0" applyFont="1" applyFill="1" applyBorder="1" applyAlignment="1" applyProtection="1">
      <alignment horizontal="center"/>
      <protection locked="0"/>
    </xf>
    <xf numFmtId="0" fontId="2" fillId="16" borderId="73" xfId="0" applyFont="1" applyFill="1" applyBorder="1" applyAlignment="1" applyProtection="1">
      <alignment horizontal="center"/>
      <protection locked="0"/>
    </xf>
    <xf numFmtId="0" fontId="16" fillId="0" borderId="0" xfId="22" applyFont="1" applyAlignment="1" applyProtection="1">
      <alignment horizontal="left"/>
      <protection locked="0"/>
    </xf>
    <xf numFmtId="0" fontId="22" fillId="0" borderId="0" xfId="22" applyFont="1" applyAlignment="1" applyProtection="1">
      <alignment horizontal="left"/>
      <protection locked="0"/>
    </xf>
    <xf numFmtId="0" fontId="20" fillId="20" borderId="25" xfId="22" applyFont="1" applyFill="1" applyBorder="1" applyAlignment="1">
      <alignment horizontal="center" wrapText="1"/>
    </xf>
    <xf numFmtId="0" fontId="16" fillId="18" borderId="25" xfId="22" applyFont="1" applyFill="1" applyBorder="1" applyAlignment="1">
      <alignment horizontal="center" wrapText="1"/>
    </xf>
    <xf numFmtId="0" fontId="16" fillId="18" borderId="62" xfId="22" applyFont="1" applyFill="1" applyBorder="1" applyAlignment="1">
      <alignment horizontal="center"/>
    </xf>
    <xf numFmtId="0" fontId="14" fillId="18" borderId="61" xfId="22" applyFont="1" applyFill="1" applyBorder="1" applyAlignment="1">
      <alignment horizontal="center"/>
    </xf>
    <xf numFmtId="172" fontId="16" fillId="0" borderId="0" xfId="22" applyNumberFormat="1" applyFont="1"/>
    <xf numFmtId="0" fontId="19" fillId="18" borderId="27" xfId="22" applyFont="1" applyFill="1" applyBorder="1" applyAlignment="1">
      <alignment horizontal="center" vertical="center"/>
    </xf>
    <xf numFmtId="0" fontId="19" fillId="18" borderId="28" xfId="22" applyFont="1" applyFill="1" applyBorder="1" applyAlignment="1">
      <alignment horizontal="center" vertical="center"/>
    </xf>
    <xf numFmtId="0" fontId="14" fillId="0" borderId="0" xfId="22" applyFont="1" applyAlignment="1">
      <alignment horizontal="center"/>
    </xf>
    <xf numFmtId="0" fontId="20" fillId="22" borderId="25" xfId="22" applyFont="1" applyFill="1" applyBorder="1" applyAlignment="1">
      <alignment horizontal="center" wrapText="1"/>
    </xf>
    <xf numFmtId="0" fontId="23" fillId="0" borderId="0" xfId="22" applyFont="1" applyAlignment="1" applyProtection="1">
      <alignment horizontal="left"/>
      <protection locked="0"/>
    </xf>
    <xf numFmtId="172" fontId="16" fillId="0" borderId="0" xfId="22" applyNumberFormat="1" applyFont="1" applyProtection="1">
      <protection locked="0"/>
    </xf>
    <xf numFmtId="0" fontId="16" fillId="0" borderId="0" xfId="22" applyFont="1" applyProtection="1">
      <protection locked="0"/>
    </xf>
    <xf numFmtId="0" fontId="16" fillId="0" borderId="32" xfId="22" applyFont="1" applyBorder="1" applyAlignment="1">
      <alignment horizontal="center" wrapText="1"/>
    </xf>
    <xf numFmtId="0" fontId="19" fillId="18" borderId="24" xfId="22" applyFont="1" applyFill="1" applyBorder="1" applyAlignment="1" applyProtection="1">
      <alignment horizontal="center" vertical="center"/>
      <protection locked="0"/>
    </xf>
    <xf numFmtId="0" fontId="17" fillId="18" borderId="24" xfId="22" applyFont="1" applyFill="1" applyBorder="1" applyAlignment="1" applyProtection="1">
      <alignment horizontal="center" vertical="center"/>
      <protection locked="0"/>
    </xf>
    <xf numFmtId="0" fontId="16" fillId="0" borderId="25" xfId="22" applyFont="1" applyBorder="1" applyAlignment="1">
      <alignment horizontal="center" wrapText="1"/>
    </xf>
    <xf numFmtId="0" fontId="16" fillId="0" borderId="27" xfId="22" applyFont="1" applyBorder="1" applyAlignment="1">
      <alignment horizontal="center" wrapText="1"/>
    </xf>
    <xf numFmtId="0" fontId="16" fillId="0" borderId="28" xfId="22" applyFont="1" applyBorder="1" applyAlignment="1">
      <alignment horizontal="center" wrapText="1"/>
    </xf>
    <xf numFmtId="0" fontId="16" fillId="0" borderId="60" xfId="22" applyFont="1" applyBorder="1" applyAlignment="1">
      <alignment horizontal="center" wrapText="1"/>
    </xf>
    <xf numFmtId="0" fontId="16" fillId="0" borderId="59" xfId="22" applyFont="1" applyBorder="1" applyAlignment="1">
      <alignment horizontal="center" wrapText="1"/>
    </xf>
    <xf numFmtId="0" fontId="22" fillId="17" borderId="0" xfId="22" applyFont="1" applyFill="1" applyAlignment="1" applyProtection="1">
      <alignment horizontal="left"/>
      <protection locked="0"/>
    </xf>
    <xf numFmtId="0" fontId="16" fillId="20" borderId="25" xfId="22" applyFont="1" applyFill="1" applyBorder="1" applyAlignment="1">
      <alignment horizontal="center" wrapText="1"/>
    </xf>
    <xf numFmtId="0" fontId="16" fillId="25" borderId="25" xfId="22" applyFont="1" applyFill="1" applyBorder="1" applyAlignment="1">
      <alignment horizontal="center" wrapText="1"/>
    </xf>
    <xf numFmtId="0" fontId="16" fillId="0" borderId="27" xfId="22" applyFont="1" applyBorder="1" applyAlignment="1" applyProtection="1">
      <alignment horizontal="center" wrapText="1"/>
      <protection locked="0"/>
    </xf>
    <xf numFmtId="0" fontId="16" fillId="0" borderId="28" xfId="22" applyFont="1" applyBorder="1" applyAlignment="1" applyProtection="1">
      <alignment horizontal="center" wrapText="1"/>
      <protection locked="0"/>
    </xf>
    <xf numFmtId="0" fontId="16" fillId="25" borderId="27" xfId="22" applyFont="1" applyFill="1" applyBorder="1" applyAlignment="1">
      <alignment horizontal="center" wrapText="1"/>
    </xf>
    <xf numFmtId="0" fontId="16" fillId="25" borderId="28" xfId="22" applyFont="1" applyFill="1" applyBorder="1" applyAlignment="1">
      <alignment horizontal="center" wrapText="1"/>
    </xf>
    <xf numFmtId="0" fontId="16" fillId="0" borderId="25" xfId="22" applyFont="1" applyBorder="1" applyAlignment="1" applyProtection="1">
      <alignment horizontal="center" wrapText="1"/>
      <protection locked="0"/>
    </xf>
    <xf numFmtId="0" fontId="16" fillId="0" borderId="32" xfId="22" applyFont="1" applyBorder="1" applyAlignment="1" applyProtection="1">
      <alignment horizontal="center" wrapText="1"/>
      <protection locked="0"/>
    </xf>
    <xf numFmtId="0" fontId="16" fillId="20" borderId="25" xfId="22" applyFont="1" applyFill="1" applyBorder="1" applyAlignment="1" applyProtection="1">
      <alignment horizontal="center" wrapText="1"/>
      <protection locked="0"/>
    </xf>
    <xf numFmtId="0" fontId="14" fillId="0" borderId="30" xfId="22" applyFont="1" applyBorder="1" applyAlignment="1">
      <alignment horizontal="center"/>
    </xf>
    <xf numFmtId="0" fontId="14" fillId="0" borderId="31" xfId="22" applyFont="1" applyBorder="1" applyAlignment="1">
      <alignment horizontal="center"/>
    </xf>
    <xf numFmtId="0" fontId="21" fillId="30" borderId="0" xfId="22" applyFont="1" applyFill="1" applyProtection="1">
      <protection locked="0"/>
    </xf>
    <xf numFmtId="0" fontId="16" fillId="30" borderId="0" xfId="22" applyFont="1" applyFill="1" applyProtection="1">
      <protection locked="0"/>
    </xf>
    <xf numFmtId="0" fontId="16" fillId="0" borderId="60" xfId="22" applyFont="1" applyBorder="1" applyAlignment="1" applyProtection="1">
      <alignment horizontal="center" wrapText="1"/>
      <protection locked="0"/>
    </xf>
    <xf numFmtId="0" fontId="16" fillId="0" borderId="59" xfId="22" applyFont="1" applyBorder="1" applyAlignment="1" applyProtection="1">
      <alignment horizontal="center" wrapText="1"/>
      <protection locked="0"/>
    </xf>
    <xf numFmtId="0" fontId="16" fillId="18" borderId="27" xfId="22" applyFont="1" applyFill="1" applyBorder="1" applyAlignment="1" applyProtection="1">
      <alignment horizontal="center" wrapText="1"/>
      <protection locked="0"/>
    </xf>
    <xf numFmtId="0" fontId="16" fillId="18" borderId="28" xfId="22" applyFont="1" applyFill="1" applyBorder="1" applyAlignment="1" applyProtection="1">
      <alignment horizontal="center" wrapText="1"/>
      <protection locked="0"/>
    </xf>
    <xf numFmtId="0" fontId="42" fillId="2" borderId="0" xfId="22" applyFont="1" applyFill="1" applyAlignment="1" applyProtection="1">
      <alignment horizontal="left"/>
      <protection locked="0"/>
    </xf>
    <xf numFmtId="0" fontId="43" fillId="18" borderId="27" xfId="22" applyFont="1" applyFill="1" applyBorder="1" applyAlignment="1">
      <alignment horizontal="center" wrapText="1"/>
    </xf>
    <xf numFmtId="0" fontId="43" fillId="18" borderId="28" xfId="22" applyFont="1" applyFill="1" applyBorder="1" applyAlignment="1">
      <alignment horizontal="center" wrapText="1"/>
    </xf>
    <xf numFmtId="0" fontId="16" fillId="22" borderId="27" xfId="22" applyFont="1" applyFill="1" applyBorder="1" applyAlignment="1">
      <alignment horizontal="center" wrapText="1"/>
    </xf>
    <xf numFmtId="0" fontId="16" fillId="22" borderId="28" xfId="22" applyFont="1" applyFill="1" applyBorder="1" applyAlignment="1">
      <alignment horizontal="center" wrapText="1"/>
    </xf>
    <xf numFmtId="0" fontId="20" fillId="20" borderId="27" xfId="22" applyFont="1" applyFill="1" applyBorder="1" applyAlignment="1">
      <alignment horizontal="center" wrapText="1"/>
    </xf>
    <xf numFmtId="0" fontId="20" fillId="20" borderId="28" xfId="22" applyFont="1" applyFill="1" applyBorder="1" applyAlignment="1">
      <alignment horizontal="center" wrapText="1"/>
    </xf>
    <xf numFmtId="0" fontId="20" fillId="22" borderId="27" xfId="22" applyFont="1" applyFill="1" applyBorder="1" applyAlignment="1">
      <alignment horizontal="center" wrapText="1"/>
    </xf>
    <xf numFmtId="0" fontId="20" fillId="22" borderId="28" xfId="22" applyFont="1" applyFill="1" applyBorder="1" applyAlignment="1">
      <alignment horizontal="center" wrapText="1"/>
    </xf>
    <xf numFmtId="0" fontId="42" fillId="17" borderId="0" xfId="22" applyFont="1" applyFill="1" applyAlignment="1" applyProtection="1">
      <alignment horizontal="left"/>
      <protection locked="0"/>
    </xf>
    <xf numFmtId="0" fontId="14" fillId="0" borderId="27" xfId="22" applyFont="1" applyBorder="1" applyAlignment="1">
      <alignment horizontal="center"/>
    </xf>
    <xf numFmtId="0" fontId="14" fillId="0" borderId="28" xfId="22" applyFont="1" applyBorder="1" applyAlignment="1">
      <alignment horizontal="center"/>
    </xf>
    <xf numFmtId="167" fontId="0" fillId="0" borderId="0" xfId="1" applyFont="1"/>
  </cellXfs>
  <cellStyles count="39">
    <cellStyle name="20% - Accent1" xfId="33" builtinId="30"/>
    <cellStyle name="20% - Accent2" xfId="21" builtinId="34"/>
    <cellStyle name="40% - Accent2" xfId="7" builtinId="35"/>
    <cellStyle name="40% - Accent3" xfId="11" builtinId="39"/>
    <cellStyle name="60% - Accent3" xfId="8" builtinId="40"/>
    <cellStyle name="Accent2" xfId="6" builtinId="33"/>
    <cellStyle name="Accent3" xfId="10" builtinId="37"/>
    <cellStyle name="Accent6" xfId="20" builtinId="49"/>
    <cellStyle name="Bad" xfId="18" builtinId="27"/>
    <cellStyle name="Currency" xfId="1" builtinId="4"/>
    <cellStyle name="Currency 2" xfId="2" xr:uid="{00000000-0005-0000-0000-000001000000}"/>
    <cellStyle name="Currency 2 2" xfId="30" xr:uid="{3641EFA1-1B82-4D55-8AED-8381F34435F6}"/>
    <cellStyle name="Currency 2 3" xfId="26" xr:uid="{A62C0CA1-0A13-43C8-8A48-BA0FD6500375}"/>
    <cellStyle name="Currency 3" xfId="24" xr:uid="{BFB0F8F9-2397-4A06-8356-AD8750ED281F}"/>
    <cellStyle name="Currency 3 2" xfId="32" xr:uid="{2FAD2685-B9EF-4BE6-A1E1-1F072781B27F}"/>
    <cellStyle name="Currency 3 3" xfId="28" xr:uid="{A3AEA038-9DF9-4EA5-A047-2F813D44FFAA}"/>
    <cellStyle name="Currency 4" xfId="29" xr:uid="{5F2D7DDF-AD13-45BC-80AF-FC730CCDCD59}"/>
    <cellStyle name="Currency 5" xfId="25" xr:uid="{9692B7EC-C5FE-4E5D-B85B-E9DD6E0EBABD}"/>
    <cellStyle name="Good" xfId="19" builtinId="26"/>
    <cellStyle name="Hyperlink" xfId="35" builtinId="8"/>
    <cellStyle name="Hyperlink 2" xfId="15" xr:uid="{31BAF29C-8704-42A8-8543-66C755095B1F}"/>
    <cellStyle name="Input" xfId="3" builtinId="20"/>
    <cellStyle name="Neutral" xfId="17" builtinId="28"/>
    <cellStyle name="Normal" xfId="0" builtinId="0"/>
    <cellStyle name="Normal 2" xfId="14" xr:uid="{4212C7FA-1548-40DD-BBC2-325C6EE96BF1}"/>
    <cellStyle name="Normal 3" xfId="22" xr:uid="{E3532518-7E44-46A0-A4F3-6BA1CAA507AD}"/>
    <cellStyle name="Normal 3 2" xfId="31" xr:uid="{FE42F090-B68E-4BBF-B10A-2F742C2F1020}"/>
    <cellStyle name="Normal 3 3" xfId="27" xr:uid="{F0C383DA-6A1B-4654-AC2A-D6EF3B8F63A5}"/>
    <cellStyle name="Output" xfId="5" builtinId="21"/>
    <cellStyle name="Percent 2" xfId="23" xr:uid="{F3A2FDEB-ADFA-4EE2-AADA-262E57D63E01}"/>
    <cellStyle name="Style 1" xfId="4" xr:uid="{8E34B932-1936-41AE-B517-C3F14BF35AE2}"/>
    <cellStyle name="Style 2" xfId="9" xr:uid="{71AAF208-4189-4658-9EE3-8A386EEC5558}"/>
    <cellStyle name="Style 3" xfId="12" xr:uid="{113924C9-DB5F-4AC2-9E96-7FEDA7B1654B}"/>
    <cellStyle name="Style 4" xfId="13" xr:uid="{E225CE64-306E-4553-93D3-FFB7064996F6}"/>
    <cellStyle name="Style 5" xfId="16" xr:uid="{D325B849-8CEB-464C-BF50-F13A3C2657A1}"/>
    <cellStyle name="Style 6" xfId="34" xr:uid="{6630237A-1C29-4052-812D-074AE82CF6B8}"/>
    <cellStyle name="Style 7" xfId="36" xr:uid="{48DE8EAB-1F90-4EEA-BE2D-92BB9BE10FB2}"/>
    <cellStyle name="Style 8" xfId="37" xr:uid="{F70C1B2F-3D07-4792-AD1E-39C140F0E63D}"/>
    <cellStyle name="Style 9" xfId="38" xr:uid="{83E5848E-C8F6-4508-AE90-D334B5737F18}"/>
  </cellStyles>
  <dxfs count="44"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alignment horizontal="general" vertical="bottom" textRotation="0" wrapText="0" indent="0" justifyLastLine="0" shrinkToFit="0" readingOrder="0"/>
    </dxf>
    <dxf>
      <border outline="0">
        <bottom style="thin">
          <color rgb="FF3F3F3F"/>
        </bottom>
      </border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3" formatCode="0\'"/>
      <fill>
        <patternFill patternType="solid">
          <fgColor indexed="64"/>
          <bgColor theme="0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3" formatCode="0\'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3" formatCode="0\'"/>
      <fill>
        <patternFill patternType="solid">
          <fgColor indexed="64"/>
          <bgColor theme="0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3" formatCode="0\'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3" formatCode="0\'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3" formatCode="0\'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>
          <fgColor indexed="64"/>
          <bgColor theme="0"/>
        </patternFill>
      </fill>
    </dxf>
    <dxf>
      <font>
        <strike val="0"/>
        <outline val="0"/>
        <shadow val="0"/>
        <vertAlign val="baseline"/>
        <sz val="11"/>
      </font>
      <numFmt numFmtId="30" formatCode="@"/>
      <fill>
        <patternFill>
          <fgColor indexed="64"/>
          <bgColor theme="0"/>
        </patternFill>
      </fill>
    </dxf>
    <dxf>
      <font>
        <strike val="0"/>
        <outline val="0"/>
        <shadow val="0"/>
        <vertAlign val="baseline"/>
        <sz val="11"/>
      </font>
      <numFmt numFmtId="30" formatCode="@"/>
      <fill>
        <patternFill>
          <fgColor indexed="64"/>
          <bgColor theme="0"/>
        </patternFill>
      </fill>
    </dxf>
    <dxf>
      <font>
        <strike val="0"/>
        <outline val="0"/>
        <shadow val="0"/>
        <vertAlign val="baseline"/>
        <sz val="11"/>
      </font>
      <numFmt numFmtId="30" formatCode="@"/>
      <fill>
        <patternFill>
          <fgColor indexed="64"/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4"/>
        </patternFill>
      </fill>
    </dxf>
    <dxf>
      <fill>
        <patternFill>
          <bgColor theme="0" tint="-4.9989318521683403E-2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border>
        <left style="thick">
          <color auto="1"/>
        </left>
        <right style="thick">
          <color auto="1"/>
        </right>
        <top style="thick">
          <color auto="1"/>
        </top>
        <bottom style="thick">
          <color auto="1"/>
        </bottom>
      </border>
    </dxf>
    <dxf>
      <font>
        <b/>
        <i val="0"/>
        <color theme="0"/>
      </font>
      <fill>
        <patternFill>
          <bgColor rgb="FFFF0000"/>
        </patternFill>
      </fill>
    </dxf>
  </dxfs>
  <tableStyles count="5" defaultTableStyle="SignCraft Invoice Table" defaultPivotStyle="PivotStyleLight16">
    <tableStyle name="invoice" pivot="0" count="1" xr9:uid="{32F62B1D-097E-4BBC-AD2B-511103169E03}">
      <tableStyleElement type="firstColumnStripe" dxfId="43"/>
    </tableStyle>
    <tableStyle name="InvoiceTable" pivot="0" count="2" xr9:uid="{5C9BD691-8A6D-449E-B8C4-10CBCCABE3E0}">
      <tableStyleElement type="wholeTable" dxfId="42"/>
      <tableStyleElement type="firstRowStripe" dxfId="41"/>
    </tableStyle>
    <tableStyle name="OutputChart" pivot="0" count="2" xr9:uid="{B7815AB4-9C82-4398-AEBF-65B89042F515}">
      <tableStyleElement type="headerRow" dxfId="40"/>
      <tableStyleElement type="secondRowStripe" dxfId="39"/>
    </tableStyle>
    <tableStyle name="signcraft" pivot="0" count="1" xr9:uid="{801EAA79-E146-47E1-84FD-91888384B80A}">
      <tableStyleElement type="wholeTable" dxfId="38"/>
    </tableStyle>
    <tableStyle name="SignCraft Invoice Table" pivot="0" count="2" xr9:uid="{465527B2-3678-4049-B1DF-497C72E0AAC2}">
      <tableStyleElement type="wholeTable" dxfId="37"/>
      <tableStyleElement type="firstColumnStripe" dxfId="36"/>
    </tableStyle>
  </tableStyles>
  <colors>
    <mruColors>
      <color rgb="FFFFC5C5"/>
      <color rgb="FFFF3737"/>
      <color rgb="FFFF8B8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Radio" firstButton="1" fmlaLink="#REF!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Radio" lockText="1" noThreeD="1"/>
</file>

<file path=xl/ctrlProps/ctrlProp5.xml><?xml version="1.0" encoding="utf-8"?>
<formControlPr xmlns="http://schemas.microsoft.com/office/spreadsheetml/2009/9/main" objectType="Radio" lockText="1" noThreeD="1"/>
</file>

<file path=xl/ctrlProps/ctrlProp6.xml><?xml version="1.0" encoding="utf-8"?>
<formControlPr xmlns="http://schemas.microsoft.com/office/spreadsheetml/2009/9/main" objectType="Radio" lockText="1" noThreeD="1"/>
</file>

<file path=xl/ctrlProps/ctrlProp7.xml><?xml version="1.0" encoding="utf-8"?>
<formControlPr xmlns="http://schemas.microsoft.com/office/spreadsheetml/2009/9/main" objectType="Radio" lockText="1" noThreeD="1"/>
</file>

<file path=xl/ctrlProps/ctrlProp8.xml><?xml version="1.0" encoding="utf-8"?>
<formControlPr xmlns="http://schemas.microsoft.com/office/spreadsheetml/2009/9/main" objectType="Radio" lockText="1" noThreeD="1"/>
</file>

<file path=xl/ctrlProps/ctrlProp9.xml><?xml version="1.0" encoding="utf-8"?>
<formControlPr xmlns="http://schemas.microsoft.com/office/spreadsheetml/2009/9/main" objectType="Radio" lockText="1" noThreeD="1"/>
</file>

<file path=xl/ctrlProps/ctrlProp10.xml><?xml version="1.0" encoding="utf-8"?>
<formControlPr xmlns="http://schemas.microsoft.com/office/spreadsheetml/2009/9/main" objectType="Radio" lockText="1" noThreeD="1"/>
</file>

<file path=xl/ctrlProps/ctrlProp11.xml><?xml version="1.0" encoding="utf-8"?>
<formControlPr xmlns="http://schemas.microsoft.com/office/spreadsheetml/2009/9/main" objectType="CheckBox" fmlaLink="#REF!" lockText="1" noThreeD="1"/>
</file>

<file path=xl/ctrlProps/ctrlProp12.xml><?xml version="1.0" encoding="utf-8"?>
<formControlPr xmlns="http://schemas.microsoft.com/office/spreadsheetml/2009/9/main" objectType="CheckBox" fmlaLink="#REF!" lockText="1" noThreeD="1"/>
</file>

<file path=xl/ctrlProps/ctrlProp13.xml><?xml version="1.0" encoding="utf-8"?>
<formControlPr xmlns="http://schemas.microsoft.com/office/spreadsheetml/2009/9/main" objectType="CheckBox" fmlaLink="#REF!" lockText="1" noThreeD="1"/>
</file>

<file path=xl/ctrlProps/ctrlProp14.xml><?xml version="1.0" encoding="utf-8"?>
<formControlPr xmlns="http://schemas.microsoft.com/office/spreadsheetml/2009/9/main" objectType="CheckBox" fmlaLink="#REF!" lockText="1" noThreeD="1"/>
</file>

<file path=xl/ctrlProps/ctrlProp15.xml><?xml version="1.0" encoding="utf-8"?>
<formControlPr xmlns="http://schemas.microsoft.com/office/spreadsheetml/2009/9/main" objectType="CheckBox" fmlaLink="#REF!" lockText="1" noThreeD="1"/>
</file>

<file path=xl/ctrlProps/ctrlProp16.xml><?xml version="1.0" encoding="utf-8"?>
<formControlPr xmlns="http://schemas.microsoft.com/office/spreadsheetml/2009/9/main" objectType="CheckBox" fmlaLink="$F$32" lockText="1" noThreeD="1"/>
</file>

<file path=xl/ctrlProps/ctrlProp17.xml><?xml version="1.0" encoding="utf-8"?>
<formControlPr xmlns="http://schemas.microsoft.com/office/spreadsheetml/2009/9/main" objectType="CheckBox" fmlaLink="$F$33" lockText="1" noThreeD="1"/>
</file>

<file path=xl/ctrlProps/ctrlProp18.xml><?xml version="1.0" encoding="utf-8"?>
<formControlPr xmlns="http://schemas.microsoft.com/office/spreadsheetml/2009/9/main" objectType="CheckBox" fmlaLink="$F$35" lockText="1" noThreeD="1"/>
</file>

<file path=xl/ctrlProps/ctrlProp19.xml><?xml version="1.0" encoding="utf-8"?>
<formControlPr xmlns="http://schemas.microsoft.com/office/spreadsheetml/2009/9/main" objectType="CheckBox" fmlaLink="$F$34" lockText="1" noThreeD="1"/>
</file>

<file path=xl/ctrlProps/ctrlProp20.xml><?xml version="1.0" encoding="utf-8"?>
<formControlPr xmlns="http://schemas.microsoft.com/office/spreadsheetml/2009/9/main" objectType="CheckBox" fmlaLink="$F$36" lockText="1" noThreeD="1"/>
</file>

<file path=xl/ctrlProps/ctrlProp21.xml><?xml version="1.0" encoding="utf-8"?>
<formControlPr xmlns="http://schemas.microsoft.com/office/spreadsheetml/2009/9/main" objectType="CheckBox" fmlaLink="$F$37" noThreeD="1"/>
</file>

<file path=xl/ctrlProps/ctrlProp22.xml><?xml version="1.0" encoding="utf-8"?>
<formControlPr xmlns="http://schemas.microsoft.com/office/spreadsheetml/2009/9/main" objectType="CheckBox" fmlaLink="$F$30" lockText="1" noThreeD="1"/>
</file>

<file path=xl/ctrlProps/ctrlProp23.xml><?xml version="1.0" encoding="utf-8"?>
<formControlPr xmlns="http://schemas.microsoft.com/office/spreadsheetml/2009/9/main" objectType="CheckBox" fmlaLink="$F$29" lockText="1" noThreeD="1"/>
</file>

<file path=xl/ctrlProps/ctrlProp24.xml><?xml version="1.0" encoding="utf-8"?>
<formControlPr xmlns="http://schemas.microsoft.com/office/spreadsheetml/2009/9/main" objectType="CheckBox" fmlaLink="$F$31" lockText="1" noThreeD="1"/>
</file>

<file path=xl/ctrlProps/ctrlProp25.xml><?xml version="1.0" encoding="utf-8"?>
<formControlPr xmlns="http://schemas.microsoft.com/office/spreadsheetml/2009/9/main" objectType="CheckBox" fmlaLink="$F$38" lockText="1" noThreeD="1"/>
</file>

<file path=xl/ctrlProps/ctrlProp26.xml><?xml version="1.0" encoding="utf-8"?>
<formControlPr xmlns="http://schemas.microsoft.com/office/spreadsheetml/2009/9/main" objectType="CheckBox" fmlaLink="$F$52" lockText="1" noThreeD="1"/>
</file>

<file path=xl/ctrlProps/ctrlProp27.xml><?xml version="1.0" encoding="utf-8"?>
<formControlPr xmlns="http://schemas.microsoft.com/office/spreadsheetml/2009/9/main" objectType="Radio" firstButton="1" fmlaLink="$F$26" noThreeD="1"/>
</file>

<file path=xl/ctrlProps/ctrlProp28.xml><?xml version="1.0" encoding="utf-8"?>
<formControlPr xmlns="http://schemas.microsoft.com/office/spreadsheetml/2009/9/main" objectType="Radio" lockText="1" noThreeD="1"/>
</file>

<file path=xl/ctrlProps/ctrlProp29.xml><?xml version="1.0" encoding="utf-8"?>
<formControlPr xmlns="http://schemas.microsoft.com/office/spreadsheetml/2009/9/main" objectType="Radio" lockText="1" noThreeD="1"/>
</file>

<file path=xl/ctrlProps/ctrlProp30.xml><?xml version="1.0" encoding="utf-8"?>
<formControlPr xmlns="http://schemas.microsoft.com/office/spreadsheetml/2009/9/main" objectType="Radio" lockText="1" noThreeD="1"/>
</file>

<file path=xl/ctrlProps/ctrlProp31.xml><?xml version="1.0" encoding="utf-8"?>
<formControlPr xmlns="http://schemas.microsoft.com/office/spreadsheetml/2009/9/main" objectType="Radio" lockText="1" noThreeD="1"/>
</file>

<file path=xl/ctrlProps/ctrlProp32.xml><?xml version="1.0" encoding="utf-8"?>
<formControlPr xmlns="http://schemas.microsoft.com/office/spreadsheetml/2009/9/main" objectType="Radio" lockText="1" noThreeD="1"/>
</file>

<file path=xl/ctrlProps/ctrlProp33.xml><?xml version="1.0" encoding="utf-8"?>
<formControlPr xmlns="http://schemas.microsoft.com/office/spreadsheetml/2009/9/main" objectType="Radio" lockText="1" noThreeD="1"/>
</file>

<file path=xl/ctrlProps/ctrlProp34.xml><?xml version="1.0" encoding="utf-8"?>
<formControlPr xmlns="http://schemas.microsoft.com/office/spreadsheetml/2009/9/main" objectType="Radio" lockText="1" noThreeD="1"/>
</file>

<file path=xl/ctrlProps/ctrlProp35.xml><?xml version="1.0" encoding="utf-8"?>
<formControlPr xmlns="http://schemas.microsoft.com/office/spreadsheetml/2009/9/main" objectType="Radio" lockText="1" noThreeD="1"/>
</file>

<file path=xl/ctrlProps/ctrlProp36.xml><?xml version="1.0" encoding="utf-8"?>
<formControlPr xmlns="http://schemas.microsoft.com/office/spreadsheetml/2009/9/main" objectType="Radio" lockText="1" noThreeD="1"/>
</file>

<file path=xl/ctrlProps/ctrlProp37.xml><?xml version="1.0" encoding="utf-8"?>
<formControlPr xmlns="http://schemas.microsoft.com/office/spreadsheetml/2009/9/main" objectType="CheckBox" fmlaLink="#REF!" lockText="1" noThreeD="1"/>
</file>

<file path=xl/ctrlProps/ctrlProp38.xml><?xml version="1.0" encoding="utf-8"?>
<formControlPr xmlns="http://schemas.microsoft.com/office/spreadsheetml/2009/9/main" objectType="CheckBox" fmlaLink="#REF!" lockText="1" noThreeD="1"/>
</file>

<file path=xl/ctrlProps/ctrlProp39.xml><?xml version="1.0" encoding="utf-8"?>
<formControlPr xmlns="http://schemas.microsoft.com/office/spreadsheetml/2009/9/main" objectType="CheckBox" fmlaLink="#REF!" lockText="1" noThreeD="1"/>
</file>

<file path=xl/ctrlProps/ctrlProp40.xml><?xml version="1.0" encoding="utf-8"?>
<formControlPr xmlns="http://schemas.microsoft.com/office/spreadsheetml/2009/9/main" objectType="CheckBox" fmlaLink="#REF!" lockText="1" noThreeD="1"/>
</file>

<file path=xl/ctrlProps/ctrlProp41.xml><?xml version="1.0" encoding="utf-8"?>
<formControlPr xmlns="http://schemas.microsoft.com/office/spreadsheetml/2009/9/main" objectType="CheckBox" fmlaLink="#REF!" lockText="1" noThreeD="1"/>
</file>

<file path=xl/ctrlProps/ctrlProp42.xml><?xml version="1.0" encoding="utf-8"?>
<formControlPr xmlns="http://schemas.microsoft.com/office/spreadsheetml/2009/9/main" objectType="Radio" firstButton="1" fmlaLink="$E$25" noThreeD="1"/>
</file>

<file path=xl/ctrlProps/ctrlProp43.xml><?xml version="1.0" encoding="utf-8"?>
<formControlPr xmlns="http://schemas.microsoft.com/office/spreadsheetml/2009/9/main" objectType="Radio" lockText="1" noThreeD="1"/>
</file>

<file path=xl/ctrlProps/ctrlProp44.xml><?xml version="1.0" encoding="utf-8"?>
<formControlPr xmlns="http://schemas.microsoft.com/office/spreadsheetml/2009/9/main" objectType="Radio" lockText="1" noThreeD="1"/>
</file>

<file path=xl/ctrlProps/ctrlProp45.xml><?xml version="1.0" encoding="utf-8"?>
<formControlPr xmlns="http://schemas.microsoft.com/office/spreadsheetml/2009/9/main" objectType="Radio" lockText="1" noThreeD="1"/>
</file>

<file path=xl/ctrlProps/ctrlProp46.xml><?xml version="1.0" encoding="utf-8"?>
<formControlPr xmlns="http://schemas.microsoft.com/office/spreadsheetml/2009/9/main" objectType="Radio" lockText="1" noThreeD="1"/>
</file>

<file path=xl/ctrlProps/ctrlProp47.xml><?xml version="1.0" encoding="utf-8"?>
<formControlPr xmlns="http://schemas.microsoft.com/office/spreadsheetml/2009/9/main" objectType="Radio" lockText="1" noThreeD="1"/>
</file>

<file path=xl/ctrlProps/ctrlProp48.xml><?xml version="1.0" encoding="utf-8"?>
<formControlPr xmlns="http://schemas.microsoft.com/office/spreadsheetml/2009/9/main" objectType="Radio" lockText="1" noThreeD="1"/>
</file>

<file path=xl/ctrlProps/ctrlProp49.xml><?xml version="1.0" encoding="utf-8"?>
<formControlPr xmlns="http://schemas.microsoft.com/office/spreadsheetml/2009/9/main" objectType="Radio" lockText="1" noThreeD="1"/>
</file>

<file path=xl/ctrlProps/ctrlProp50.xml><?xml version="1.0" encoding="utf-8"?>
<formControlPr xmlns="http://schemas.microsoft.com/office/spreadsheetml/2009/9/main" objectType="Radio" lockText="1" noThreeD="1"/>
</file>

<file path=xl/ctrlProps/ctrlProp51.xml><?xml version="1.0" encoding="utf-8"?>
<formControlPr xmlns="http://schemas.microsoft.com/office/spreadsheetml/2009/9/main" objectType="Radio" lockText="1" noThreeD="1"/>
</file>

<file path=xl/ctrlProps/ctrlProp52.xml><?xml version="1.0" encoding="utf-8"?>
<formControlPr xmlns="http://schemas.microsoft.com/office/spreadsheetml/2009/9/main" objectType="CheckBox" fmlaLink="#REF!" lockText="1" noThreeD="1"/>
</file>

<file path=xl/ctrlProps/ctrlProp53.xml><?xml version="1.0" encoding="utf-8"?>
<formControlPr xmlns="http://schemas.microsoft.com/office/spreadsheetml/2009/9/main" objectType="CheckBox" fmlaLink="#REF!" lockText="1" noThreeD="1"/>
</file>

<file path=xl/ctrlProps/ctrlProp54.xml><?xml version="1.0" encoding="utf-8"?>
<formControlPr xmlns="http://schemas.microsoft.com/office/spreadsheetml/2009/9/main" objectType="CheckBox" fmlaLink="#REF!" lockText="1" noThreeD="1"/>
</file>

<file path=xl/ctrlProps/ctrlProp55.xml><?xml version="1.0" encoding="utf-8"?>
<formControlPr xmlns="http://schemas.microsoft.com/office/spreadsheetml/2009/9/main" objectType="CheckBox" fmlaLink="#REF!" lockText="1" noThreeD="1"/>
</file>

<file path=xl/ctrlProps/ctrlProp56.xml><?xml version="1.0" encoding="utf-8"?>
<formControlPr xmlns="http://schemas.microsoft.com/office/spreadsheetml/2009/9/main" objectType="CheckBox" fmlaLink="#REF!" lockText="1" noThreeD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352425</xdr:colOff>
      <xdr:row>3</xdr:row>
      <xdr:rowOff>95250</xdr:rowOff>
    </xdr:from>
    <xdr:to>
      <xdr:col>4</xdr:col>
      <xdr:colOff>171450</xdr:colOff>
      <xdr:row>4</xdr:row>
      <xdr:rowOff>0</xdr:rowOff>
    </xdr:to>
    <xdr:sp macro="" textlink="">
      <xdr:nvSpPr>
        <xdr:cNvPr id="2" name="Text Box 5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>
          <a:spLocks noChangeArrowheads="1"/>
        </xdr:cNvSpPr>
      </xdr:nvSpPr>
      <xdr:spPr bwMode="auto">
        <a:xfrm>
          <a:off x="1571625" y="666750"/>
          <a:ext cx="1038225" cy="95250"/>
        </a:xfrm>
        <a:prstGeom prst="rect">
          <a:avLst/>
        </a:prstGeom>
        <a:solidFill>
          <a:srgbClr val="FFFFFF">
            <a:alpha val="0"/>
          </a:srgbClr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10</xdr:col>
      <xdr:colOff>352425</xdr:colOff>
      <xdr:row>3</xdr:row>
      <xdr:rowOff>95250</xdr:rowOff>
    </xdr:from>
    <xdr:to>
      <xdr:col>12</xdr:col>
      <xdr:colOff>171450</xdr:colOff>
      <xdr:row>4</xdr:row>
      <xdr:rowOff>0</xdr:rowOff>
    </xdr:to>
    <xdr:sp macro="" textlink="">
      <xdr:nvSpPr>
        <xdr:cNvPr id="3" name="Text Box 5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>
          <a:spLocks noChangeArrowheads="1"/>
        </xdr:cNvSpPr>
      </xdr:nvSpPr>
      <xdr:spPr bwMode="auto">
        <a:xfrm>
          <a:off x="6448425" y="666750"/>
          <a:ext cx="1038225" cy="95250"/>
        </a:xfrm>
        <a:prstGeom prst="rect">
          <a:avLst/>
        </a:prstGeom>
        <a:solidFill>
          <a:srgbClr val="FFFFFF">
            <a:alpha val="0"/>
          </a:srgbClr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18</xdr:col>
      <xdr:colOff>352425</xdr:colOff>
      <xdr:row>3</xdr:row>
      <xdr:rowOff>95250</xdr:rowOff>
    </xdr:from>
    <xdr:to>
      <xdr:col>20</xdr:col>
      <xdr:colOff>171450</xdr:colOff>
      <xdr:row>4</xdr:row>
      <xdr:rowOff>0</xdr:rowOff>
    </xdr:to>
    <xdr:sp macro="" textlink="">
      <xdr:nvSpPr>
        <xdr:cNvPr id="4" name="Text Box 5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>
          <a:spLocks noChangeArrowheads="1"/>
        </xdr:cNvSpPr>
      </xdr:nvSpPr>
      <xdr:spPr bwMode="auto">
        <a:xfrm>
          <a:off x="11325225" y="666750"/>
          <a:ext cx="1038225" cy="95250"/>
        </a:xfrm>
        <a:prstGeom prst="rect">
          <a:avLst/>
        </a:prstGeom>
        <a:solidFill>
          <a:srgbClr val="FFFFFF">
            <a:alpha val="0"/>
          </a:srgbClr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26</xdr:col>
      <xdr:colOff>352425</xdr:colOff>
      <xdr:row>3</xdr:row>
      <xdr:rowOff>95250</xdr:rowOff>
    </xdr:from>
    <xdr:to>
      <xdr:col>28</xdr:col>
      <xdr:colOff>171450</xdr:colOff>
      <xdr:row>4</xdr:row>
      <xdr:rowOff>0</xdr:rowOff>
    </xdr:to>
    <xdr:sp macro="" textlink="">
      <xdr:nvSpPr>
        <xdr:cNvPr id="5" name="Text Box 5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>
          <a:spLocks noChangeArrowheads="1"/>
        </xdr:cNvSpPr>
      </xdr:nvSpPr>
      <xdr:spPr bwMode="auto">
        <a:xfrm>
          <a:off x="16202025" y="666750"/>
          <a:ext cx="1038225" cy="95250"/>
        </a:xfrm>
        <a:prstGeom prst="rect">
          <a:avLst/>
        </a:prstGeom>
        <a:solidFill>
          <a:srgbClr val="FFFFFF">
            <a:alpha val="0"/>
          </a:srgbClr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34</xdr:col>
      <xdr:colOff>352425</xdr:colOff>
      <xdr:row>3</xdr:row>
      <xdr:rowOff>95250</xdr:rowOff>
    </xdr:from>
    <xdr:to>
      <xdr:col>36</xdr:col>
      <xdr:colOff>171450</xdr:colOff>
      <xdr:row>4</xdr:row>
      <xdr:rowOff>0</xdr:rowOff>
    </xdr:to>
    <xdr:sp macro="" textlink="">
      <xdr:nvSpPr>
        <xdr:cNvPr id="6" name="Text Box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>
          <a:spLocks noChangeArrowheads="1"/>
        </xdr:cNvSpPr>
      </xdr:nvSpPr>
      <xdr:spPr bwMode="auto">
        <a:xfrm>
          <a:off x="21078825" y="666750"/>
          <a:ext cx="1038225" cy="95250"/>
        </a:xfrm>
        <a:prstGeom prst="rect">
          <a:avLst/>
        </a:prstGeom>
        <a:solidFill>
          <a:srgbClr val="FFFFFF">
            <a:alpha val="0"/>
          </a:srgbClr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47625" y="104775"/>
    <xdr:ext cx="1430234" cy="638175"/>
    <xdr:pic>
      <xdr:nvPicPr>
        <xdr:cNvPr id="2" name="Picture 1" descr="template_logo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 bwMode="auto">
        <a:xfrm>
          <a:off x="47625" y="104775"/>
          <a:ext cx="1430234" cy="6381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absoluteAnchor>
  <xdr:absoluteAnchor>
    <xdr:pos x="3676650" y="9525"/>
    <xdr:ext cx="2266950" cy="476250"/>
    <xdr:sp macro="" textlink="">
      <xdr:nvSpPr>
        <xdr:cNvPr id="3" name="Text Box 3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>
          <a:spLocks noChangeArrowheads="1"/>
        </xdr:cNvSpPr>
      </xdr:nvSpPr>
      <xdr:spPr bwMode="auto">
        <a:xfrm>
          <a:off x="3676650" y="9525"/>
          <a:ext cx="2266950" cy="476250"/>
        </a:xfrm>
        <a:prstGeom prst="rect">
          <a:avLst/>
        </a:prstGeom>
        <a:solidFill>
          <a:srgbClr val="FFFFFF">
            <a:alpha val="0"/>
          </a:srgbClr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91440" tIns="45720" rIns="91440" bIns="45720" anchor="ctr" upright="1"/>
        <a:lstStyle/>
        <a:p>
          <a:pPr algn="r" rtl="0">
            <a:defRPr sz="1000"/>
          </a:pPr>
          <a:r>
            <a:rPr lang="en-US" sz="2000" b="1" i="0" u="none" strike="noStrike" baseline="0">
              <a:solidFill>
                <a:schemeClr val="accent1">
                  <a:lumMod val="75000"/>
                </a:schemeClr>
              </a:solidFill>
              <a:latin typeface="+mj-lt"/>
            </a:rPr>
            <a:t>QUOTE</a:t>
          </a:r>
          <a:endParaRPr lang="en-US">
            <a:solidFill>
              <a:schemeClr val="accent1">
                <a:lumMod val="75000"/>
              </a:schemeClr>
            </a:solidFill>
            <a:latin typeface="+mj-lt"/>
          </a:endParaRPr>
        </a:p>
      </xdr:txBody>
    </xdr:sp>
    <xdr:clientData/>
  </xdr:absoluteAnchor>
  <xdr:twoCellAnchor>
    <xdr:from>
      <xdr:col>2</xdr:col>
      <xdr:colOff>352425</xdr:colOff>
      <xdr:row>2</xdr:row>
      <xdr:rowOff>95250</xdr:rowOff>
    </xdr:from>
    <xdr:to>
      <xdr:col>4</xdr:col>
      <xdr:colOff>171450</xdr:colOff>
      <xdr:row>3</xdr:row>
      <xdr:rowOff>0</xdr:rowOff>
    </xdr:to>
    <xdr:sp macro="" textlink="">
      <xdr:nvSpPr>
        <xdr:cNvPr id="4" name="Text Box 5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>
          <a:spLocks noChangeArrowheads="1"/>
        </xdr:cNvSpPr>
      </xdr:nvSpPr>
      <xdr:spPr bwMode="auto">
        <a:xfrm>
          <a:off x="2600325" y="847725"/>
          <a:ext cx="1524000" cy="114300"/>
        </a:xfrm>
        <a:prstGeom prst="rect">
          <a:avLst/>
        </a:prstGeom>
        <a:solidFill>
          <a:srgbClr val="FFFFFF">
            <a:alpha val="0"/>
          </a:srgbClr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257175</xdr:colOff>
      <xdr:row>56</xdr:row>
      <xdr:rowOff>133350</xdr:rowOff>
    </xdr:from>
    <xdr:to>
      <xdr:col>2</xdr:col>
      <xdr:colOff>533400</xdr:colOff>
      <xdr:row>57</xdr:row>
      <xdr:rowOff>180975</xdr:rowOff>
    </xdr:to>
    <xdr:sp macro="[0]!ADD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1104900" y="11468100"/>
          <a:ext cx="1676400" cy="247650"/>
        </a:xfrm>
        <a:prstGeom prst="rect">
          <a:avLst/>
        </a:prstGeom>
        <a:solidFill>
          <a:srgbClr val="C00000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CA" sz="1100" b="1">
              <a:solidFill>
                <a:schemeClr val="bg1"/>
              </a:solidFill>
            </a:rPr>
            <a:t>FINALIZE</a:t>
          </a:r>
          <a:r>
            <a:rPr lang="en-CA" sz="1100" b="1" baseline="0">
              <a:solidFill>
                <a:schemeClr val="bg1"/>
              </a:solidFill>
            </a:rPr>
            <a:t> PAGE</a:t>
          </a:r>
          <a:endParaRPr lang="en-CA" sz="1100" b="1">
            <a:solidFill>
              <a:schemeClr val="bg1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828675</xdr:colOff>
      <xdr:row>1</xdr:row>
      <xdr:rowOff>142875</xdr:rowOff>
    </xdr:from>
    <xdr:to>
      <xdr:col>5</xdr:col>
      <xdr:colOff>801602</xdr:colOff>
      <xdr:row>3</xdr:row>
      <xdr:rowOff>1209674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95675" y="333375"/>
          <a:ext cx="3973427" cy="1447799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9</xdr:row>
      <xdr:rowOff>0</xdr:rowOff>
    </xdr:from>
    <xdr:to>
      <xdr:col>5</xdr:col>
      <xdr:colOff>0</xdr:colOff>
      <xdr:row>10</xdr:row>
      <xdr:rowOff>0</xdr:rowOff>
    </xdr:to>
    <xdr:sp macro="OpenSignQuote" textlink="">
      <xdr:nvSpPr>
        <xdr:cNvPr id="47" name="btnSignQuote">
          <a:extLst>
            <a:ext uri="{FF2B5EF4-FFF2-40B4-BE49-F238E27FC236}">
              <a16:creationId xmlns:a16="http://schemas.microsoft.com/office/drawing/2014/main" id="{00000000-0008-0000-0300-00002F000000}"/>
            </a:ext>
          </a:extLst>
        </xdr:cNvPr>
        <xdr:cNvSpPr/>
      </xdr:nvSpPr>
      <xdr:spPr>
        <a:xfrm>
          <a:off x="4000500" y="3362325"/>
          <a:ext cx="2667000" cy="238125"/>
        </a:xfrm>
        <a:prstGeom prst="rect">
          <a:avLst/>
        </a:prstGeom>
        <a:solidFill>
          <a:srgbClr val="E8E8E8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200" b="1">
              <a:solidFill>
                <a:srgbClr val="0C0C0C"/>
              </a:solidFill>
            </a:rPr>
            <a:t>SIGN QUOTE</a:t>
          </a:r>
        </a:p>
      </xdr:txBody>
    </xdr:sp>
    <xdr:clientData/>
  </xdr:twoCellAnchor>
  <xdr:twoCellAnchor>
    <xdr:from>
      <xdr:col>3</xdr:col>
      <xdr:colOff>0</xdr:colOff>
      <xdr:row>11</xdr:row>
      <xdr:rowOff>0</xdr:rowOff>
    </xdr:from>
    <xdr:to>
      <xdr:col>5</xdr:col>
      <xdr:colOff>0</xdr:colOff>
      <xdr:row>12</xdr:row>
      <xdr:rowOff>0</xdr:rowOff>
    </xdr:to>
    <xdr:sp macro="OpenVehicleQuote" textlink="">
      <xdr:nvSpPr>
        <xdr:cNvPr id="48" name="btnVehicleQuote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/>
      </xdr:nvSpPr>
      <xdr:spPr>
        <a:xfrm>
          <a:off x="4000500" y="3838575"/>
          <a:ext cx="2667000" cy="238125"/>
        </a:xfrm>
        <a:prstGeom prst="rect">
          <a:avLst/>
        </a:prstGeom>
        <a:solidFill>
          <a:srgbClr val="E8E8E8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200" b="1">
              <a:solidFill>
                <a:srgbClr val="0C0C0C"/>
              </a:solidFill>
            </a:rPr>
            <a:t>VEHICLE QUOTE</a:t>
          </a:r>
        </a:p>
      </xdr:txBody>
    </xdr:sp>
    <xdr:clientData/>
  </xdr:twoCellAnchor>
  <xdr:twoCellAnchor>
    <xdr:from>
      <xdr:col>3</xdr:col>
      <xdr:colOff>0</xdr:colOff>
      <xdr:row>13</xdr:row>
      <xdr:rowOff>0</xdr:rowOff>
    </xdr:from>
    <xdr:to>
      <xdr:col>5</xdr:col>
      <xdr:colOff>0</xdr:colOff>
      <xdr:row>14</xdr:row>
      <xdr:rowOff>0</xdr:rowOff>
    </xdr:to>
    <xdr:sp macro="Open3mmAluQuote" textlink="">
      <xdr:nvSpPr>
        <xdr:cNvPr id="49" name="btn3mmAluQuote">
          <a:extLst>
            <a:ext uri="{FF2B5EF4-FFF2-40B4-BE49-F238E27FC236}">
              <a16:creationId xmlns:a16="http://schemas.microsoft.com/office/drawing/2014/main" id="{00000000-0008-0000-0300-000031000000}"/>
            </a:ext>
          </a:extLst>
        </xdr:cNvPr>
        <xdr:cNvSpPr/>
      </xdr:nvSpPr>
      <xdr:spPr>
        <a:xfrm>
          <a:off x="4000500" y="4314825"/>
          <a:ext cx="2667000" cy="238125"/>
        </a:xfrm>
        <a:prstGeom prst="rect">
          <a:avLst/>
        </a:prstGeom>
        <a:solidFill>
          <a:srgbClr val="E8E8E8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200" b="1">
              <a:solidFill>
                <a:srgbClr val="0C0C0C"/>
              </a:solidFill>
            </a:rPr>
            <a:t>3MM DIMENSIONAL ACM QUOTE</a:t>
          </a:r>
        </a:p>
      </xdr:txBody>
    </xdr:sp>
    <xdr:clientData/>
  </xdr:twoCellAnchor>
  <xdr:twoCellAnchor>
    <xdr:from>
      <xdr:col>3</xdr:col>
      <xdr:colOff>0</xdr:colOff>
      <xdr:row>15</xdr:row>
      <xdr:rowOff>0</xdr:rowOff>
    </xdr:from>
    <xdr:to>
      <xdr:col>5</xdr:col>
      <xdr:colOff>0</xdr:colOff>
      <xdr:row>16</xdr:row>
      <xdr:rowOff>0</xdr:rowOff>
    </xdr:to>
    <xdr:sp macro="OpenAlu125Quote" textlink="">
      <xdr:nvSpPr>
        <xdr:cNvPr id="50" name="btnAlu125Quote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/>
      </xdr:nvSpPr>
      <xdr:spPr>
        <a:xfrm>
          <a:off x="4000500" y="4791075"/>
          <a:ext cx="2667000" cy="238125"/>
        </a:xfrm>
        <a:prstGeom prst="rect">
          <a:avLst/>
        </a:prstGeom>
        <a:solidFill>
          <a:srgbClr val="E8E8E8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200" b="1">
              <a:solidFill>
                <a:srgbClr val="0C0C0C"/>
              </a:solidFill>
            </a:rPr>
            <a:t>ALUMINUM .125 QUOTE</a:t>
          </a:r>
        </a:p>
      </xdr:txBody>
    </xdr:sp>
    <xdr:clientData/>
  </xdr:twoCellAnchor>
  <xdr:twoCellAnchor>
    <xdr:from>
      <xdr:col>3</xdr:col>
      <xdr:colOff>0</xdr:colOff>
      <xdr:row>16</xdr:row>
      <xdr:rowOff>0</xdr:rowOff>
    </xdr:from>
    <xdr:to>
      <xdr:col>5</xdr:col>
      <xdr:colOff>0</xdr:colOff>
      <xdr:row>17</xdr:row>
      <xdr:rowOff>0</xdr:rowOff>
    </xdr:to>
    <xdr:sp macro="OpenAlu25Quote" textlink="">
      <xdr:nvSpPr>
        <xdr:cNvPr id="51" name="btnAlu25Quote">
          <a:extLst>
            <a:ext uri="{FF2B5EF4-FFF2-40B4-BE49-F238E27FC236}">
              <a16:creationId xmlns:a16="http://schemas.microsoft.com/office/drawing/2014/main" id="{00000000-0008-0000-0300-000033000000}"/>
            </a:ext>
          </a:extLst>
        </xdr:cNvPr>
        <xdr:cNvSpPr/>
      </xdr:nvSpPr>
      <xdr:spPr>
        <a:xfrm>
          <a:off x="4000500" y="5029200"/>
          <a:ext cx="2667000" cy="238125"/>
        </a:xfrm>
        <a:prstGeom prst="rect">
          <a:avLst/>
        </a:prstGeom>
        <a:solidFill>
          <a:srgbClr val="E8E8E8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200" b="1">
              <a:solidFill>
                <a:srgbClr val="0C0C0C"/>
              </a:solidFill>
            </a:rPr>
            <a:t>ALUMINUM .25 QUOTE</a:t>
          </a:r>
        </a:p>
      </xdr:txBody>
    </xdr:sp>
    <xdr:clientData/>
  </xdr:twoCellAnchor>
  <xdr:twoCellAnchor>
    <xdr:from>
      <xdr:col>3</xdr:col>
      <xdr:colOff>0</xdr:colOff>
      <xdr:row>18</xdr:row>
      <xdr:rowOff>0</xdr:rowOff>
    </xdr:from>
    <xdr:to>
      <xdr:col>5</xdr:col>
      <xdr:colOff>0</xdr:colOff>
      <xdr:row>19</xdr:row>
      <xdr:rowOff>0</xdr:rowOff>
    </xdr:to>
    <xdr:sp macro="OpenAcrylicLettersQuote" textlink="">
      <xdr:nvSpPr>
        <xdr:cNvPr id="52" name="btnAcrylicLettersQuote">
          <a:extLst>
            <a:ext uri="{FF2B5EF4-FFF2-40B4-BE49-F238E27FC236}">
              <a16:creationId xmlns:a16="http://schemas.microsoft.com/office/drawing/2014/main" id="{00000000-0008-0000-0300-000034000000}"/>
            </a:ext>
          </a:extLst>
        </xdr:cNvPr>
        <xdr:cNvSpPr/>
      </xdr:nvSpPr>
      <xdr:spPr>
        <a:xfrm>
          <a:off x="4000500" y="5505450"/>
          <a:ext cx="2667000" cy="238125"/>
        </a:xfrm>
        <a:prstGeom prst="rect">
          <a:avLst/>
        </a:prstGeom>
        <a:solidFill>
          <a:srgbClr val="E8E8E8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200" b="1">
              <a:solidFill>
                <a:srgbClr val="0C0C0C"/>
              </a:solidFill>
            </a:rPr>
            <a:t>ACRYLIC LETTERS QUOTE</a:t>
          </a:r>
        </a:p>
      </xdr:txBody>
    </xdr:sp>
    <xdr:clientData/>
  </xdr:twoCellAnchor>
  <xdr:twoCellAnchor>
    <xdr:from>
      <xdr:col>3</xdr:col>
      <xdr:colOff>0</xdr:colOff>
      <xdr:row>19</xdr:row>
      <xdr:rowOff>0</xdr:rowOff>
    </xdr:from>
    <xdr:to>
      <xdr:col>5</xdr:col>
      <xdr:colOff>0</xdr:colOff>
      <xdr:row>20</xdr:row>
      <xdr:rowOff>0</xdr:rowOff>
    </xdr:to>
    <xdr:sp macro="OpenChannelLetterQuote" textlink="">
      <xdr:nvSpPr>
        <xdr:cNvPr id="53" name="btnChannelLetterQuote">
          <a:extLst>
            <a:ext uri="{FF2B5EF4-FFF2-40B4-BE49-F238E27FC236}">
              <a16:creationId xmlns:a16="http://schemas.microsoft.com/office/drawing/2014/main" id="{00000000-0008-0000-0300-000035000000}"/>
            </a:ext>
          </a:extLst>
        </xdr:cNvPr>
        <xdr:cNvSpPr/>
      </xdr:nvSpPr>
      <xdr:spPr>
        <a:xfrm>
          <a:off x="4000500" y="5743575"/>
          <a:ext cx="2667000" cy="238125"/>
        </a:xfrm>
        <a:prstGeom prst="rect">
          <a:avLst/>
        </a:prstGeom>
        <a:solidFill>
          <a:srgbClr val="E8E8E8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200" b="1">
              <a:solidFill>
                <a:srgbClr val="0C0C0C"/>
              </a:solidFill>
            </a:rPr>
            <a:t>CHANNEL LETTERS QUOTE</a:t>
          </a:r>
        </a:p>
      </xdr:txBody>
    </xdr:sp>
    <xdr:clientData/>
  </xdr:twoCellAnchor>
  <xdr:twoCellAnchor>
    <xdr:from>
      <xdr:col>3</xdr:col>
      <xdr:colOff>0</xdr:colOff>
      <xdr:row>21</xdr:row>
      <xdr:rowOff>0</xdr:rowOff>
    </xdr:from>
    <xdr:to>
      <xdr:col>5</xdr:col>
      <xdr:colOff>0</xdr:colOff>
      <xdr:row>22</xdr:row>
      <xdr:rowOff>0</xdr:rowOff>
    </xdr:to>
    <xdr:sp macro="OpenRetroLedQuote" textlink="">
      <xdr:nvSpPr>
        <xdr:cNvPr id="54" name="btnRetroLedQuote">
          <a:extLst>
            <a:ext uri="{FF2B5EF4-FFF2-40B4-BE49-F238E27FC236}">
              <a16:creationId xmlns:a16="http://schemas.microsoft.com/office/drawing/2014/main" id="{00000000-0008-0000-0300-000036000000}"/>
            </a:ext>
          </a:extLst>
        </xdr:cNvPr>
        <xdr:cNvSpPr/>
      </xdr:nvSpPr>
      <xdr:spPr>
        <a:xfrm>
          <a:off x="4000500" y="6219825"/>
          <a:ext cx="2667000" cy="238125"/>
        </a:xfrm>
        <a:prstGeom prst="rect">
          <a:avLst/>
        </a:prstGeom>
        <a:solidFill>
          <a:srgbClr val="E8E8E8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200" b="1">
              <a:solidFill>
                <a:srgbClr val="0C0C0C"/>
              </a:solidFill>
            </a:rPr>
            <a:t>RETRO LED QUOTE</a:t>
          </a:r>
        </a:p>
      </xdr:txBody>
    </xdr:sp>
    <xdr:clientData/>
  </xdr:twoCellAnchor>
  <xdr:twoCellAnchor>
    <xdr:from>
      <xdr:col>3</xdr:col>
      <xdr:colOff>0</xdr:colOff>
      <xdr:row>22</xdr:row>
      <xdr:rowOff>0</xdr:rowOff>
    </xdr:from>
    <xdr:to>
      <xdr:col>5</xdr:col>
      <xdr:colOff>0</xdr:colOff>
      <xdr:row>23</xdr:row>
      <xdr:rowOff>0</xdr:rowOff>
    </xdr:to>
    <xdr:sp macro="OpenIllumQuote" textlink="">
      <xdr:nvSpPr>
        <xdr:cNvPr id="55" name="btnIllumQuote">
          <a:extLst>
            <a:ext uri="{FF2B5EF4-FFF2-40B4-BE49-F238E27FC236}">
              <a16:creationId xmlns:a16="http://schemas.microsoft.com/office/drawing/2014/main" id="{00000000-0008-0000-0300-000037000000}"/>
            </a:ext>
          </a:extLst>
        </xdr:cNvPr>
        <xdr:cNvSpPr/>
      </xdr:nvSpPr>
      <xdr:spPr>
        <a:xfrm>
          <a:off x="4000500" y="6457950"/>
          <a:ext cx="2667000" cy="238125"/>
        </a:xfrm>
        <a:prstGeom prst="rect">
          <a:avLst/>
        </a:prstGeom>
        <a:solidFill>
          <a:srgbClr val="E8E8E8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200" b="1">
              <a:solidFill>
                <a:srgbClr val="0C0C0C"/>
              </a:solidFill>
            </a:rPr>
            <a:t>ILLUMINATED QUOTE</a:t>
          </a:r>
        </a:p>
      </xdr:txBody>
    </xdr:sp>
    <xdr:clientData/>
  </xdr:twoCellAnchor>
  <xdr:twoCellAnchor>
    <xdr:from>
      <xdr:col>3</xdr:col>
      <xdr:colOff>0</xdr:colOff>
      <xdr:row>24</xdr:row>
      <xdr:rowOff>0</xdr:rowOff>
    </xdr:from>
    <xdr:to>
      <xdr:col>5</xdr:col>
      <xdr:colOff>0</xdr:colOff>
      <xdr:row>25</xdr:row>
      <xdr:rowOff>0</xdr:rowOff>
    </xdr:to>
    <xdr:sp macro="OpenNutBoltQuote" textlink="">
      <xdr:nvSpPr>
        <xdr:cNvPr id="56" name="btnNutBoltQuote">
          <a:extLst>
            <a:ext uri="{FF2B5EF4-FFF2-40B4-BE49-F238E27FC236}">
              <a16:creationId xmlns:a16="http://schemas.microsoft.com/office/drawing/2014/main" id="{00000000-0008-0000-0300-000038000000}"/>
            </a:ext>
          </a:extLst>
        </xdr:cNvPr>
        <xdr:cNvSpPr/>
      </xdr:nvSpPr>
      <xdr:spPr>
        <a:xfrm>
          <a:off x="4000500" y="6934200"/>
          <a:ext cx="2667000" cy="238125"/>
        </a:xfrm>
        <a:prstGeom prst="rect">
          <a:avLst/>
        </a:prstGeom>
        <a:solidFill>
          <a:srgbClr val="E8E8E8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200" b="1">
              <a:solidFill>
                <a:srgbClr val="0C0C0C"/>
              </a:solidFill>
            </a:rPr>
            <a:t>NUTS AND BOLTS QUOTE</a:t>
          </a:r>
        </a:p>
      </xdr:txBody>
    </xdr:sp>
    <xdr:clientData/>
  </xdr:twoCellAnchor>
  <xdr:twoCellAnchor>
    <xdr:from>
      <xdr:col>3</xdr:col>
      <xdr:colOff>0</xdr:colOff>
      <xdr:row>25</xdr:row>
      <xdr:rowOff>0</xdr:rowOff>
    </xdr:from>
    <xdr:to>
      <xdr:col>5</xdr:col>
      <xdr:colOff>0</xdr:colOff>
      <xdr:row>26</xdr:row>
      <xdr:rowOff>0</xdr:rowOff>
    </xdr:to>
    <xdr:sp macro="Open3mmFormedQuote" textlink="">
      <xdr:nvSpPr>
        <xdr:cNvPr id="57" name="btn3mmFormedQuote">
          <a:extLst>
            <a:ext uri="{FF2B5EF4-FFF2-40B4-BE49-F238E27FC236}">
              <a16:creationId xmlns:a16="http://schemas.microsoft.com/office/drawing/2014/main" id="{00000000-0008-0000-0300-000039000000}"/>
            </a:ext>
          </a:extLst>
        </xdr:cNvPr>
        <xdr:cNvSpPr/>
      </xdr:nvSpPr>
      <xdr:spPr>
        <a:xfrm>
          <a:off x="4000500" y="7172325"/>
          <a:ext cx="2667000" cy="238125"/>
        </a:xfrm>
        <a:prstGeom prst="rect">
          <a:avLst/>
        </a:prstGeom>
        <a:solidFill>
          <a:srgbClr val="E8E8E8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200" b="1">
              <a:solidFill>
                <a:srgbClr val="0C0C0C"/>
              </a:solidFill>
            </a:rPr>
            <a:t>3MM FORMED QUOTE</a:t>
          </a:r>
        </a:p>
      </xdr:txBody>
    </xdr:sp>
    <xdr:clientData/>
  </xdr:twoCellAnchor>
  <xdr:twoCellAnchor>
    <xdr:from>
      <xdr:col>3</xdr:col>
      <xdr:colOff>0</xdr:colOff>
      <xdr:row>26</xdr:row>
      <xdr:rowOff>0</xdr:rowOff>
    </xdr:from>
    <xdr:to>
      <xdr:col>5</xdr:col>
      <xdr:colOff>0</xdr:colOff>
      <xdr:row>27</xdr:row>
      <xdr:rowOff>0</xdr:rowOff>
    </xdr:to>
    <xdr:sp macro="AcrylicPushAQuote" textlink="">
      <xdr:nvSpPr>
        <xdr:cNvPr id="58" name="btnAcrylicPushAQuote">
          <a:extLst>
            <a:ext uri="{FF2B5EF4-FFF2-40B4-BE49-F238E27FC236}">
              <a16:creationId xmlns:a16="http://schemas.microsoft.com/office/drawing/2014/main" id="{00000000-0008-0000-0300-00003A000000}"/>
            </a:ext>
          </a:extLst>
        </xdr:cNvPr>
        <xdr:cNvSpPr/>
      </xdr:nvSpPr>
      <xdr:spPr>
        <a:xfrm>
          <a:off x="4000500" y="7410450"/>
          <a:ext cx="2667000" cy="238125"/>
        </a:xfrm>
        <a:prstGeom prst="rect">
          <a:avLst/>
        </a:prstGeom>
        <a:solidFill>
          <a:srgbClr val="E8E8E8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200" b="1">
              <a:solidFill>
                <a:srgbClr val="0C0C0C"/>
              </a:solidFill>
            </a:rPr>
            <a:t>ACRYLIC PUSH A QUOTE</a:t>
          </a:r>
        </a:p>
      </xdr:txBody>
    </xdr:sp>
    <xdr:clientData/>
  </xdr:twoCellAnchor>
  <xdr:twoCellAnchor>
    <xdr:from>
      <xdr:col>3</xdr:col>
      <xdr:colOff>0</xdr:colOff>
      <xdr:row>27</xdr:row>
      <xdr:rowOff>0</xdr:rowOff>
    </xdr:from>
    <xdr:to>
      <xdr:col>5</xdr:col>
      <xdr:colOff>0</xdr:colOff>
      <xdr:row>28</xdr:row>
      <xdr:rowOff>0</xdr:rowOff>
    </xdr:to>
    <xdr:sp macro="AcrylicPushBQuote" textlink="">
      <xdr:nvSpPr>
        <xdr:cNvPr id="59" name="btnAcrylicPushBQuote">
          <a:extLst>
            <a:ext uri="{FF2B5EF4-FFF2-40B4-BE49-F238E27FC236}">
              <a16:creationId xmlns:a16="http://schemas.microsoft.com/office/drawing/2014/main" id="{00000000-0008-0000-0300-00003B000000}"/>
            </a:ext>
          </a:extLst>
        </xdr:cNvPr>
        <xdr:cNvSpPr/>
      </xdr:nvSpPr>
      <xdr:spPr>
        <a:xfrm>
          <a:off x="4000500" y="7648575"/>
          <a:ext cx="2667000" cy="238125"/>
        </a:xfrm>
        <a:prstGeom prst="rect">
          <a:avLst/>
        </a:prstGeom>
        <a:solidFill>
          <a:srgbClr val="E8E8E8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200" b="1">
              <a:solidFill>
                <a:srgbClr val="0C0C0C"/>
              </a:solidFill>
            </a:rPr>
            <a:t>ACRYLIC PUSH B QUOTE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0</xdr:rowOff>
        </xdr:from>
        <xdr:to>
          <xdr:col>2</xdr:col>
          <xdr:colOff>28575</xdr:colOff>
          <xdr:row>1</xdr:row>
          <xdr:rowOff>19050</xdr:rowOff>
        </xdr:to>
        <xdr:sp macro="" textlink="">
          <xdr:nvSpPr>
            <xdr:cNvPr id="232464" name="Option Button 16" hidden="1">
              <a:extLst>
                <a:ext uri="{63B3BB69-23CF-44E3-9099-C40C66FF867C}">
                  <a14:compatExt spid="_x0000_s232464"/>
                </a:ext>
                <a:ext uri="{FF2B5EF4-FFF2-40B4-BE49-F238E27FC236}">
                  <a16:creationId xmlns:a16="http://schemas.microsoft.com/office/drawing/2014/main" id="{00000000-0008-0000-0600-0000108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0</xdr:rowOff>
        </xdr:from>
        <xdr:to>
          <xdr:col>2</xdr:col>
          <xdr:colOff>28575</xdr:colOff>
          <xdr:row>1</xdr:row>
          <xdr:rowOff>19050</xdr:rowOff>
        </xdr:to>
        <xdr:sp macro="" textlink="">
          <xdr:nvSpPr>
            <xdr:cNvPr id="232465" name="Option Button 17" hidden="1">
              <a:extLst>
                <a:ext uri="{63B3BB69-23CF-44E3-9099-C40C66FF867C}">
                  <a14:compatExt spid="_x0000_s232465"/>
                </a:ext>
                <a:ext uri="{FF2B5EF4-FFF2-40B4-BE49-F238E27FC236}">
                  <a16:creationId xmlns:a16="http://schemas.microsoft.com/office/drawing/2014/main" id="{00000000-0008-0000-0600-0000118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0</xdr:rowOff>
        </xdr:from>
        <xdr:to>
          <xdr:col>2</xdr:col>
          <xdr:colOff>38100</xdr:colOff>
          <xdr:row>1</xdr:row>
          <xdr:rowOff>0</xdr:rowOff>
        </xdr:to>
        <xdr:sp macro="" textlink="">
          <xdr:nvSpPr>
            <xdr:cNvPr id="232466" name="Option Button 18" hidden="1">
              <a:extLst>
                <a:ext uri="{63B3BB69-23CF-44E3-9099-C40C66FF867C}">
                  <a14:compatExt spid="_x0000_s232466"/>
                </a:ext>
                <a:ext uri="{FF2B5EF4-FFF2-40B4-BE49-F238E27FC236}">
                  <a16:creationId xmlns:a16="http://schemas.microsoft.com/office/drawing/2014/main" id="{00000000-0008-0000-0600-0000128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0</xdr:rowOff>
        </xdr:from>
        <xdr:to>
          <xdr:col>2</xdr:col>
          <xdr:colOff>28575</xdr:colOff>
          <xdr:row>1</xdr:row>
          <xdr:rowOff>9525</xdr:rowOff>
        </xdr:to>
        <xdr:sp macro="" textlink="">
          <xdr:nvSpPr>
            <xdr:cNvPr id="232467" name="Option Button 19" hidden="1">
              <a:extLst>
                <a:ext uri="{63B3BB69-23CF-44E3-9099-C40C66FF867C}">
                  <a14:compatExt spid="_x0000_s232467"/>
                </a:ext>
                <a:ext uri="{FF2B5EF4-FFF2-40B4-BE49-F238E27FC236}">
                  <a16:creationId xmlns:a16="http://schemas.microsoft.com/office/drawing/2014/main" id="{00000000-0008-0000-0600-0000138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0</xdr:rowOff>
        </xdr:from>
        <xdr:to>
          <xdr:col>2</xdr:col>
          <xdr:colOff>19050</xdr:colOff>
          <xdr:row>1</xdr:row>
          <xdr:rowOff>0</xdr:rowOff>
        </xdr:to>
        <xdr:sp macro="" textlink="">
          <xdr:nvSpPr>
            <xdr:cNvPr id="232468" name="Option Button 20" hidden="1">
              <a:extLst>
                <a:ext uri="{63B3BB69-23CF-44E3-9099-C40C66FF867C}">
                  <a14:compatExt spid="_x0000_s232468"/>
                </a:ext>
                <a:ext uri="{FF2B5EF4-FFF2-40B4-BE49-F238E27FC236}">
                  <a16:creationId xmlns:a16="http://schemas.microsoft.com/office/drawing/2014/main" id="{00000000-0008-0000-0600-0000148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0</xdr:rowOff>
        </xdr:from>
        <xdr:to>
          <xdr:col>2</xdr:col>
          <xdr:colOff>28575</xdr:colOff>
          <xdr:row>0</xdr:row>
          <xdr:rowOff>180975</xdr:rowOff>
        </xdr:to>
        <xdr:sp macro="" textlink="">
          <xdr:nvSpPr>
            <xdr:cNvPr id="232469" name="Option Button 21" hidden="1">
              <a:extLst>
                <a:ext uri="{63B3BB69-23CF-44E3-9099-C40C66FF867C}">
                  <a14:compatExt spid="_x0000_s232469"/>
                </a:ext>
                <a:ext uri="{FF2B5EF4-FFF2-40B4-BE49-F238E27FC236}">
                  <a16:creationId xmlns:a16="http://schemas.microsoft.com/office/drawing/2014/main" id="{00000000-0008-0000-0600-0000158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0</xdr:rowOff>
        </xdr:from>
        <xdr:to>
          <xdr:col>2</xdr:col>
          <xdr:colOff>38100</xdr:colOff>
          <xdr:row>1</xdr:row>
          <xdr:rowOff>9525</xdr:rowOff>
        </xdr:to>
        <xdr:sp macro="" textlink="">
          <xdr:nvSpPr>
            <xdr:cNvPr id="232470" name="Option Button 22" hidden="1">
              <a:extLst>
                <a:ext uri="{63B3BB69-23CF-44E3-9099-C40C66FF867C}">
                  <a14:compatExt spid="_x0000_s232470"/>
                </a:ext>
                <a:ext uri="{FF2B5EF4-FFF2-40B4-BE49-F238E27FC236}">
                  <a16:creationId xmlns:a16="http://schemas.microsoft.com/office/drawing/2014/main" id="{00000000-0008-0000-0600-0000168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0</xdr:rowOff>
        </xdr:from>
        <xdr:to>
          <xdr:col>2</xdr:col>
          <xdr:colOff>47625</xdr:colOff>
          <xdr:row>1</xdr:row>
          <xdr:rowOff>9525</xdr:rowOff>
        </xdr:to>
        <xdr:sp macro="" textlink="">
          <xdr:nvSpPr>
            <xdr:cNvPr id="232471" name="Option Button 23" hidden="1">
              <a:extLst>
                <a:ext uri="{63B3BB69-23CF-44E3-9099-C40C66FF867C}">
                  <a14:compatExt spid="_x0000_s232471"/>
                </a:ext>
                <a:ext uri="{FF2B5EF4-FFF2-40B4-BE49-F238E27FC236}">
                  <a16:creationId xmlns:a16="http://schemas.microsoft.com/office/drawing/2014/main" id="{00000000-0008-0000-0600-0000178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0</xdr:rowOff>
        </xdr:from>
        <xdr:to>
          <xdr:col>2</xdr:col>
          <xdr:colOff>47625</xdr:colOff>
          <xdr:row>0</xdr:row>
          <xdr:rowOff>180975</xdr:rowOff>
        </xdr:to>
        <xdr:sp macro="" textlink="">
          <xdr:nvSpPr>
            <xdr:cNvPr id="232472" name="Option Button 24" hidden="1">
              <a:extLst>
                <a:ext uri="{63B3BB69-23CF-44E3-9099-C40C66FF867C}">
                  <a14:compatExt spid="_x0000_s232472"/>
                </a:ext>
                <a:ext uri="{FF2B5EF4-FFF2-40B4-BE49-F238E27FC236}">
                  <a16:creationId xmlns:a16="http://schemas.microsoft.com/office/drawing/2014/main" id="{00000000-0008-0000-0600-0000188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0</xdr:rowOff>
        </xdr:from>
        <xdr:to>
          <xdr:col>2</xdr:col>
          <xdr:colOff>28575</xdr:colOff>
          <xdr:row>0</xdr:row>
          <xdr:rowOff>180975</xdr:rowOff>
        </xdr:to>
        <xdr:sp macro="" textlink="">
          <xdr:nvSpPr>
            <xdr:cNvPr id="232473" name="Option Button 25" hidden="1">
              <a:extLst>
                <a:ext uri="{63B3BB69-23CF-44E3-9099-C40C66FF867C}">
                  <a14:compatExt spid="_x0000_s232473"/>
                </a:ext>
                <a:ext uri="{FF2B5EF4-FFF2-40B4-BE49-F238E27FC236}">
                  <a16:creationId xmlns:a16="http://schemas.microsoft.com/office/drawing/2014/main" id="{00000000-0008-0000-0600-0000198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0</xdr:rowOff>
        </xdr:from>
        <xdr:to>
          <xdr:col>2</xdr:col>
          <xdr:colOff>76200</xdr:colOff>
          <xdr:row>1</xdr:row>
          <xdr:rowOff>38100</xdr:rowOff>
        </xdr:to>
        <xdr:sp macro="" textlink="">
          <xdr:nvSpPr>
            <xdr:cNvPr id="232474" name="Check Box 26" hidden="1">
              <a:extLst>
                <a:ext uri="{63B3BB69-23CF-44E3-9099-C40C66FF867C}">
                  <a14:compatExt spid="_x0000_s232474"/>
                </a:ext>
                <a:ext uri="{FF2B5EF4-FFF2-40B4-BE49-F238E27FC236}">
                  <a16:creationId xmlns:a16="http://schemas.microsoft.com/office/drawing/2014/main" id="{00000000-0008-0000-0600-00001A8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0</xdr:rowOff>
        </xdr:from>
        <xdr:to>
          <xdr:col>2</xdr:col>
          <xdr:colOff>19050</xdr:colOff>
          <xdr:row>1</xdr:row>
          <xdr:rowOff>9525</xdr:rowOff>
        </xdr:to>
        <xdr:sp macro="" textlink="">
          <xdr:nvSpPr>
            <xdr:cNvPr id="232475" name="Check Box 27" hidden="1">
              <a:extLst>
                <a:ext uri="{63B3BB69-23CF-44E3-9099-C40C66FF867C}">
                  <a14:compatExt spid="_x0000_s232475"/>
                </a:ext>
                <a:ext uri="{FF2B5EF4-FFF2-40B4-BE49-F238E27FC236}">
                  <a16:creationId xmlns:a16="http://schemas.microsoft.com/office/drawing/2014/main" id="{00000000-0008-0000-0600-00001B8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0</xdr:rowOff>
        </xdr:from>
        <xdr:to>
          <xdr:col>2</xdr:col>
          <xdr:colOff>57150</xdr:colOff>
          <xdr:row>1</xdr:row>
          <xdr:rowOff>28575</xdr:rowOff>
        </xdr:to>
        <xdr:sp macro="" textlink="">
          <xdr:nvSpPr>
            <xdr:cNvPr id="232476" name="Check Box 28" hidden="1">
              <a:extLst>
                <a:ext uri="{63B3BB69-23CF-44E3-9099-C40C66FF867C}">
                  <a14:compatExt spid="_x0000_s232476"/>
                </a:ext>
                <a:ext uri="{FF2B5EF4-FFF2-40B4-BE49-F238E27FC236}">
                  <a16:creationId xmlns:a16="http://schemas.microsoft.com/office/drawing/2014/main" id="{00000000-0008-0000-0600-00001C8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0</xdr:rowOff>
        </xdr:from>
        <xdr:to>
          <xdr:col>2</xdr:col>
          <xdr:colOff>47625</xdr:colOff>
          <xdr:row>1</xdr:row>
          <xdr:rowOff>28575</xdr:rowOff>
        </xdr:to>
        <xdr:sp macro="" textlink="">
          <xdr:nvSpPr>
            <xdr:cNvPr id="232477" name="Check Box 29" hidden="1">
              <a:extLst>
                <a:ext uri="{63B3BB69-23CF-44E3-9099-C40C66FF867C}">
                  <a14:compatExt spid="_x0000_s232477"/>
                </a:ext>
                <a:ext uri="{FF2B5EF4-FFF2-40B4-BE49-F238E27FC236}">
                  <a16:creationId xmlns:a16="http://schemas.microsoft.com/office/drawing/2014/main" id="{00000000-0008-0000-0600-00001D8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0</xdr:rowOff>
        </xdr:from>
        <xdr:to>
          <xdr:col>2</xdr:col>
          <xdr:colOff>47625</xdr:colOff>
          <xdr:row>1</xdr:row>
          <xdr:rowOff>38100</xdr:rowOff>
        </xdr:to>
        <xdr:sp macro="" textlink="">
          <xdr:nvSpPr>
            <xdr:cNvPr id="232478" name="Check Box 30" hidden="1">
              <a:extLst>
                <a:ext uri="{63B3BB69-23CF-44E3-9099-C40C66FF867C}">
                  <a14:compatExt spid="_x0000_s232478"/>
                </a:ext>
                <a:ext uri="{FF2B5EF4-FFF2-40B4-BE49-F238E27FC236}">
                  <a16:creationId xmlns:a16="http://schemas.microsoft.com/office/drawing/2014/main" id="{00000000-0008-0000-0600-00001E8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</xdr:col>
      <xdr:colOff>0</xdr:colOff>
      <xdr:row>0</xdr:row>
      <xdr:rowOff>0</xdr:rowOff>
    </xdr:from>
    <xdr:to>
      <xdr:col>4</xdr:col>
      <xdr:colOff>43482</xdr:colOff>
      <xdr:row>3</xdr:row>
      <xdr:rowOff>150973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005632" cy="731998"/>
        </a:xfrm>
        <a:prstGeom prst="rect">
          <a:avLst/>
        </a:prstGeom>
      </xdr:spPr>
    </xdr:pic>
    <xdr:clientData/>
  </xdr:twoCellAnchor>
  <xdr:twoCellAnchor>
    <xdr:from>
      <xdr:col>2</xdr:col>
      <xdr:colOff>9110</xdr:colOff>
      <xdr:row>63</xdr:row>
      <xdr:rowOff>93593</xdr:rowOff>
    </xdr:from>
    <xdr:to>
      <xdr:col>3</xdr:col>
      <xdr:colOff>409575</xdr:colOff>
      <xdr:row>64</xdr:row>
      <xdr:rowOff>159026</xdr:rowOff>
    </xdr:to>
    <xdr:sp macro="[0]!ADD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761585" y="4608443"/>
          <a:ext cx="1610140" cy="246408"/>
        </a:xfrm>
        <a:prstGeom prst="rect">
          <a:avLst/>
        </a:prstGeom>
        <a:solidFill>
          <a:srgbClr val="C00000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CA" sz="1100" b="1">
              <a:solidFill>
                <a:schemeClr val="bg1"/>
              </a:solidFill>
            </a:rPr>
            <a:t>FINALIZE</a:t>
          </a:r>
          <a:r>
            <a:rPr lang="en-CA" sz="1100" b="1" baseline="0">
              <a:solidFill>
                <a:schemeClr val="bg1"/>
              </a:solidFill>
            </a:rPr>
            <a:t> PAGE</a:t>
          </a:r>
          <a:endParaRPr lang="en-CA" sz="1100" b="1">
            <a:solidFill>
              <a:schemeClr val="bg1"/>
            </a:solidFill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171450</xdr:colOff>
          <xdr:row>0</xdr:row>
          <xdr:rowOff>209550</xdr:rowOff>
        </xdr:to>
        <xdr:sp macro="" textlink="">
          <xdr:nvSpPr>
            <xdr:cNvPr id="77825" name="Option Button 1" hidden="1">
              <a:extLst>
                <a:ext uri="{63B3BB69-23CF-44E3-9099-C40C66FF867C}">
                  <a14:compatExt spid="_x0000_s77825"/>
                </a:ext>
                <a:ext uri="{FF2B5EF4-FFF2-40B4-BE49-F238E27FC236}">
                  <a16:creationId xmlns:a16="http://schemas.microsoft.com/office/drawing/2014/main" id="{00000000-0008-0000-0700-000001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171450</xdr:colOff>
          <xdr:row>0</xdr:row>
          <xdr:rowOff>209550</xdr:rowOff>
        </xdr:to>
        <xdr:sp macro="" textlink="">
          <xdr:nvSpPr>
            <xdr:cNvPr id="77826" name="Option Button 2" hidden="1">
              <a:extLst>
                <a:ext uri="{63B3BB69-23CF-44E3-9099-C40C66FF867C}">
                  <a14:compatExt spid="_x0000_s77826"/>
                </a:ext>
                <a:ext uri="{FF2B5EF4-FFF2-40B4-BE49-F238E27FC236}">
                  <a16:creationId xmlns:a16="http://schemas.microsoft.com/office/drawing/2014/main" id="{00000000-0008-0000-0700-000002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180975</xdr:colOff>
          <xdr:row>0</xdr:row>
          <xdr:rowOff>190500</xdr:rowOff>
        </xdr:to>
        <xdr:sp macro="" textlink="">
          <xdr:nvSpPr>
            <xdr:cNvPr id="77827" name="Option Button 3" hidden="1">
              <a:extLst>
                <a:ext uri="{63B3BB69-23CF-44E3-9099-C40C66FF867C}">
                  <a14:compatExt spid="_x0000_s77827"/>
                </a:ext>
                <a:ext uri="{FF2B5EF4-FFF2-40B4-BE49-F238E27FC236}">
                  <a16:creationId xmlns:a16="http://schemas.microsoft.com/office/drawing/2014/main" id="{00000000-0008-0000-0700-000003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171450</xdr:colOff>
          <xdr:row>0</xdr:row>
          <xdr:rowOff>200025</xdr:rowOff>
        </xdr:to>
        <xdr:sp macro="" textlink="">
          <xdr:nvSpPr>
            <xdr:cNvPr id="77828" name="Option Button 4" hidden="1">
              <a:extLst>
                <a:ext uri="{63B3BB69-23CF-44E3-9099-C40C66FF867C}">
                  <a14:compatExt spid="_x0000_s77828"/>
                </a:ext>
                <a:ext uri="{FF2B5EF4-FFF2-40B4-BE49-F238E27FC236}">
                  <a16:creationId xmlns:a16="http://schemas.microsoft.com/office/drawing/2014/main" id="{00000000-0008-0000-0700-000004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161925</xdr:colOff>
          <xdr:row>0</xdr:row>
          <xdr:rowOff>190500</xdr:rowOff>
        </xdr:to>
        <xdr:sp macro="" textlink="">
          <xdr:nvSpPr>
            <xdr:cNvPr id="77829" name="Option Button 5" hidden="1">
              <a:extLst>
                <a:ext uri="{63B3BB69-23CF-44E3-9099-C40C66FF867C}">
                  <a14:compatExt spid="_x0000_s77829"/>
                </a:ext>
                <a:ext uri="{FF2B5EF4-FFF2-40B4-BE49-F238E27FC236}">
                  <a16:creationId xmlns:a16="http://schemas.microsoft.com/office/drawing/2014/main" id="{00000000-0008-0000-0700-000005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171450</xdr:colOff>
          <xdr:row>0</xdr:row>
          <xdr:rowOff>180975</xdr:rowOff>
        </xdr:to>
        <xdr:sp macro="" textlink="">
          <xdr:nvSpPr>
            <xdr:cNvPr id="77830" name="Option Button 6" hidden="1">
              <a:extLst>
                <a:ext uri="{63B3BB69-23CF-44E3-9099-C40C66FF867C}">
                  <a14:compatExt spid="_x0000_s77830"/>
                </a:ext>
                <a:ext uri="{FF2B5EF4-FFF2-40B4-BE49-F238E27FC236}">
                  <a16:creationId xmlns:a16="http://schemas.microsoft.com/office/drawing/2014/main" id="{00000000-0008-0000-0700-000006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180975</xdr:colOff>
          <xdr:row>0</xdr:row>
          <xdr:rowOff>200025</xdr:rowOff>
        </xdr:to>
        <xdr:sp macro="" textlink="">
          <xdr:nvSpPr>
            <xdr:cNvPr id="77831" name="Option Button 7" hidden="1">
              <a:extLst>
                <a:ext uri="{63B3BB69-23CF-44E3-9099-C40C66FF867C}">
                  <a14:compatExt spid="_x0000_s77831"/>
                </a:ext>
                <a:ext uri="{FF2B5EF4-FFF2-40B4-BE49-F238E27FC236}">
                  <a16:creationId xmlns:a16="http://schemas.microsoft.com/office/drawing/2014/main" id="{00000000-0008-0000-0700-000007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190500</xdr:colOff>
          <xdr:row>0</xdr:row>
          <xdr:rowOff>200025</xdr:rowOff>
        </xdr:to>
        <xdr:sp macro="" textlink="">
          <xdr:nvSpPr>
            <xdr:cNvPr id="77832" name="Option Button 8" hidden="1">
              <a:extLst>
                <a:ext uri="{63B3BB69-23CF-44E3-9099-C40C66FF867C}">
                  <a14:compatExt spid="_x0000_s77832"/>
                </a:ext>
                <a:ext uri="{FF2B5EF4-FFF2-40B4-BE49-F238E27FC236}">
                  <a16:creationId xmlns:a16="http://schemas.microsoft.com/office/drawing/2014/main" id="{00000000-0008-0000-0700-000008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190500</xdr:colOff>
          <xdr:row>0</xdr:row>
          <xdr:rowOff>180975</xdr:rowOff>
        </xdr:to>
        <xdr:sp macro="" textlink="">
          <xdr:nvSpPr>
            <xdr:cNvPr id="77833" name="Option Button 9" hidden="1">
              <a:extLst>
                <a:ext uri="{63B3BB69-23CF-44E3-9099-C40C66FF867C}">
                  <a14:compatExt spid="_x0000_s77833"/>
                </a:ext>
                <a:ext uri="{FF2B5EF4-FFF2-40B4-BE49-F238E27FC236}">
                  <a16:creationId xmlns:a16="http://schemas.microsoft.com/office/drawing/2014/main" id="{00000000-0008-0000-0700-000009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171450</xdr:colOff>
          <xdr:row>0</xdr:row>
          <xdr:rowOff>180975</xdr:rowOff>
        </xdr:to>
        <xdr:sp macro="" textlink="">
          <xdr:nvSpPr>
            <xdr:cNvPr id="77834" name="Option Button 10" hidden="1">
              <a:extLst>
                <a:ext uri="{63B3BB69-23CF-44E3-9099-C40C66FF867C}">
                  <a14:compatExt spid="_x0000_s77834"/>
                </a:ext>
                <a:ext uri="{FF2B5EF4-FFF2-40B4-BE49-F238E27FC236}">
                  <a16:creationId xmlns:a16="http://schemas.microsoft.com/office/drawing/2014/main" id="{00000000-0008-0000-0700-00000A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219075</xdr:colOff>
          <xdr:row>0</xdr:row>
          <xdr:rowOff>228600</xdr:rowOff>
        </xdr:to>
        <xdr:sp macro="" textlink="">
          <xdr:nvSpPr>
            <xdr:cNvPr id="77835" name="Check Box 11" hidden="1">
              <a:extLst>
                <a:ext uri="{63B3BB69-23CF-44E3-9099-C40C66FF867C}">
                  <a14:compatExt spid="_x0000_s77835"/>
                </a:ext>
                <a:ext uri="{FF2B5EF4-FFF2-40B4-BE49-F238E27FC236}">
                  <a16:creationId xmlns:a16="http://schemas.microsoft.com/office/drawing/2014/main" id="{00000000-0008-0000-0700-00000B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161925</xdr:colOff>
          <xdr:row>0</xdr:row>
          <xdr:rowOff>200025</xdr:rowOff>
        </xdr:to>
        <xdr:sp macro="" textlink="">
          <xdr:nvSpPr>
            <xdr:cNvPr id="77836" name="Check Box 12" hidden="1">
              <a:extLst>
                <a:ext uri="{63B3BB69-23CF-44E3-9099-C40C66FF867C}">
                  <a14:compatExt spid="_x0000_s77836"/>
                </a:ext>
                <a:ext uri="{FF2B5EF4-FFF2-40B4-BE49-F238E27FC236}">
                  <a16:creationId xmlns:a16="http://schemas.microsoft.com/office/drawing/2014/main" id="{00000000-0008-0000-0700-00000C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200025</xdr:colOff>
          <xdr:row>0</xdr:row>
          <xdr:rowOff>219075</xdr:rowOff>
        </xdr:to>
        <xdr:sp macro="" textlink="">
          <xdr:nvSpPr>
            <xdr:cNvPr id="77837" name="Check Box 13" hidden="1">
              <a:extLst>
                <a:ext uri="{63B3BB69-23CF-44E3-9099-C40C66FF867C}">
                  <a14:compatExt spid="_x0000_s77837"/>
                </a:ext>
                <a:ext uri="{FF2B5EF4-FFF2-40B4-BE49-F238E27FC236}">
                  <a16:creationId xmlns:a16="http://schemas.microsoft.com/office/drawing/2014/main" id="{00000000-0008-0000-0700-00000D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190500</xdr:colOff>
          <xdr:row>0</xdr:row>
          <xdr:rowOff>219075</xdr:rowOff>
        </xdr:to>
        <xdr:sp macro="" textlink="">
          <xdr:nvSpPr>
            <xdr:cNvPr id="77838" name="Check Box 14" hidden="1">
              <a:extLst>
                <a:ext uri="{63B3BB69-23CF-44E3-9099-C40C66FF867C}">
                  <a14:compatExt spid="_x0000_s77838"/>
                </a:ext>
                <a:ext uri="{FF2B5EF4-FFF2-40B4-BE49-F238E27FC236}">
                  <a16:creationId xmlns:a16="http://schemas.microsoft.com/office/drawing/2014/main" id="{00000000-0008-0000-0700-00000E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190500</xdr:colOff>
          <xdr:row>0</xdr:row>
          <xdr:rowOff>228600</xdr:rowOff>
        </xdr:to>
        <xdr:sp macro="" textlink="">
          <xdr:nvSpPr>
            <xdr:cNvPr id="77839" name="Check Box 15" hidden="1">
              <a:extLst>
                <a:ext uri="{63B3BB69-23CF-44E3-9099-C40C66FF867C}">
                  <a14:compatExt spid="_x0000_s77839"/>
                </a:ext>
                <a:ext uri="{FF2B5EF4-FFF2-40B4-BE49-F238E27FC236}">
                  <a16:creationId xmlns:a16="http://schemas.microsoft.com/office/drawing/2014/main" id="{00000000-0008-0000-0700-00000F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30</xdr:row>
          <xdr:rowOff>200025</xdr:rowOff>
        </xdr:from>
        <xdr:to>
          <xdr:col>1</xdr:col>
          <xdr:colOff>0</xdr:colOff>
          <xdr:row>48</xdr:row>
          <xdr:rowOff>47625</xdr:rowOff>
        </xdr:to>
        <xdr:sp macro="" textlink="">
          <xdr:nvSpPr>
            <xdr:cNvPr id="77850" name="Check Box 26" hidden="1">
              <a:extLst>
                <a:ext uri="{63B3BB69-23CF-44E3-9099-C40C66FF867C}">
                  <a14:compatExt spid="_x0000_s77850"/>
                </a:ext>
                <a:ext uri="{FF2B5EF4-FFF2-40B4-BE49-F238E27FC236}">
                  <a16:creationId xmlns:a16="http://schemas.microsoft.com/office/drawing/2014/main" id="{00000000-0008-0000-0700-00001A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31</xdr:row>
          <xdr:rowOff>219075</xdr:rowOff>
        </xdr:from>
        <xdr:to>
          <xdr:col>0</xdr:col>
          <xdr:colOff>314325</xdr:colOff>
          <xdr:row>48</xdr:row>
          <xdr:rowOff>19050</xdr:rowOff>
        </xdr:to>
        <xdr:sp macro="" textlink="">
          <xdr:nvSpPr>
            <xdr:cNvPr id="77851" name="Check Box 27" hidden="1">
              <a:extLst>
                <a:ext uri="{63B3BB69-23CF-44E3-9099-C40C66FF867C}">
                  <a14:compatExt spid="_x0000_s77851"/>
                </a:ext>
                <a:ext uri="{FF2B5EF4-FFF2-40B4-BE49-F238E27FC236}">
                  <a16:creationId xmlns:a16="http://schemas.microsoft.com/office/drawing/2014/main" id="{00000000-0008-0000-0700-00001B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33</xdr:row>
          <xdr:rowOff>200025</xdr:rowOff>
        </xdr:from>
        <xdr:to>
          <xdr:col>0</xdr:col>
          <xdr:colOff>352425</xdr:colOff>
          <xdr:row>48</xdr:row>
          <xdr:rowOff>38100</xdr:rowOff>
        </xdr:to>
        <xdr:sp macro="" textlink="">
          <xdr:nvSpPr>
            <xdr:cNvPr id="77852" name="Check Box 28" hidden="1">
              <a:extLst>
                <a:ext uri="{63B3BB69-23CF-44E3-9099-C40C66FF867C}">
                  <a14:compatExt spid="_x0000_s77852"/>
                </a:ext>
                <a:ext uri="{FF2B5EF4-FFF2-40B4-BE49-F238E27FC236}">
                  <a16:creationId xmlns:a16="http://schemas.microsoft.com/office/drawing/2014/main" id="{00000000-0008-0000-0700-00001C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32</xdr:row>
          <xdr:rowOff>209550</xdr:rowOff>
        </xdr:from>
        <xdr:to>
          <xdr:col>0</xdr:col>
          <xdr:colOff>342900</xdr:colOff>
          <xdr:row>48</xdr:row>
          <xdr:rowOff>38100</xdr:rowOff>
        </xdr:to>
        <xdr:sp macro="" textlink="">
          <xdr:nvSpPr>
            <xdr:cNvPr id="77853" name="Check Box 29" hidden="1">
              <a:extLst>
                <a:ext uri="{63B3BB69-23CF-44E3-9099-C40C66FF867C}">
                  <a14:compatExt spid="_x0000_s77853"/>
                </a:ext>
                <a:ext uri="{FF2B5EF4-FFF2-40B4-BE49-F238E27FC236}">
                  <a16:creationId xmlns:a16="http://schemas.microsoft.com/office/drawing/2014/main" id="{00000000-0008-0000-0700-00001D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34</xdr:row>
          <xdr:rowOff>209550</xdr:rowOff>
        </xdr:from>
        <xdr:to>
          <xdr:col>0</xdr:col>
          <xdr:colOff>342900</xdr:colOff>
          <xdr:row>48</xdr:row>
          <xdr:rowOff>47625</xdr:rowOff>
        </xdr:to>
        <xdr:sp macro="" textlink="">
          <xdr:nvSpPr>
            <xdr:cNvPr id="77854" name="Check Box 30" hidden="1">
              <a:extLst>
                <a:ext uri="{63B3BB69-23CF-44E3-9099-C40C66FF867C}">
                  <a14:compatExt spid="_x0000_s77854"/>
                </a:ext>
                <a:ext uri="{FF2B5EF4-FFF2-40B4-BE49-F238E27FC236}">
                  <a16:creationId xmlns:a16="http://schemas.microsoft.com/office/drawing/2014/main" id="{00000000-0008-0000-0700-00001E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35</xdr:row>
          <xdr:rowOff>209550</xdr:rowOff>
        </xdr:from>
        <xdr:to>
          <xdr:col>0</xdr:col>
          <xdr:colOff>333375</xdr:colOff>
          <xdr:row>48</xdr:row>
          <xdr:rowOff>28575</xdr:rowOff>
        </xdr:to>
        <xdr:sp macro="" textlink="">
          <xdr:nvSpPr>
            <xdr:cNvPr id="77855" name="Check Box 31" hidden="1">
              <a:extLst>
                <a:ext uri="{63B3BB69-23CF-44E3-9099-C40C66FF867C}">
                  <a14:compatExt spid="_x0000_s77855"/>
                </a:ext>
                <a:ext uri="{FF2B5EF4-FFF2-40B4-BE49-F238E27FC236}">
                  <a16:creationId xmlns:a16="http://schemas.microsoft.com/office/drawing/2014/main" id="{00000000-0008-0000-0700-00001F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29</xdr:row>
          <xdr:rowOff>0</xdr:rowOff>
        </xdr:from>
        <xdr:to>
          <xdr:col>0</xdr:col>
          <xdr:colOff>333375</xdr:colOff>
          <xdr:row>48</xdr:row>
          <xdr:rowOff>0</xdr:rowOff>
        </xdr:to>
        <xdr:sp macro="" textlink="">
          <xdr:nvSpPr>
            <xdr:cNvPr id="77856" name="Check Box 32" hidden="1">
              <a:extLst>
                <a:ext uri="{63B3BB69-23CF-44E3-9099-C40C66FF867C}">
                  <a14:compatExt spid="_x0000_s77856"/>
                </a:ext>
                <a:ext uri="{FF2B5EF4-FFF2-40B4-BE49-F238E27FC236}">
                  <a16:creationId xmlns:a16="http://schemas.microsoft.com/office/drawing/2014/main" id="{00000000-0008-0000-0700-000020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27</xdr:row>
          <xdr:rowOff>209550</xdr:rowOff>
        </xdr:from>
        <xdr:to>
          <xdr:col>0</xdr:col>
          <xdr:colOff>333375</xdr:colOff>
          <xdr:row>48</xdr:row>
          <xdr:rowOff>0</xdr:rowOff>
        </xdr:to>
        <xdr:sp macro="" textlink="">
          <xdr:nvSpPr>
            <xdr:cNvPr id="77857" name="Check Box 33" hidden="1">
              <a:extLst>
                <a:ext uri="{63B3BB69-23CF-44E3-9099-C40C66FF867C}">
                  <a14:compatExt spid="_x0000_s77857"/>
                </a:ext>
                <a:ext uri="{FF2B5EF4-FFF2-40B4-BE49-F238E27FC236}">
                  <a16:creationId xmlns:a16="http://schemas.microsoft.com/office/drawing/2014/main" id="{00000000-0008-0000-0700-000021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29</xdr:row>
          <xdr:rowOff>180975</xdr:rowOff>
        </xdr:from>
        <xdr:to>
          <xdr:col>0</xdr:col>
          <xdr:colOff>333375</xdr:colOff>
          <xdr:row>48</xdr:row>
          <xdr:rowOff>57150</xdr:rowOff>
        </xdr:to>
        <xdr:sp macro="" textlink="">
          <xdr:nvSpPr>
            <xdr:cNvPr id="77858" name="Check Box 34" hidden="1">
              <a:extLst>
                <a:ext uri="{63B3BB69-23CF-44E3-9099-C40C66FF867C}">
                  <a14:compatExt spid="_x0000_s77858"/>
                </a:ext>
                <a:ext uri="{FF2B5EF4-FFF2-40B4-BE49-F238E27FC236}">
                  <a16:creationId xmlns:a16="http://schemas.microsoft.com/office/drawing/2014/main" id="{00000000-0008-0000-0700-000022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36</xdr:row>
          <xdr:rowOff>209550</xdr:rowOff>
        </xdr:from>
        <xdr:to>
          <xdr:col>0</xdr:col>
          <xdr:colOff>333375</xdr:colOff>
          <xdr:row>48</xdr:row>
          <xdr:rowOff>28575</xdr:rowOff>
        </xdr:to>
        <xdr:sp macro="" textlink="">
          <xdr:nvSpPr>
            <xdr:cNvPr id="77860" name="Check Box 36" hidden="1">
              <a:extLst>
                <a:ext uri="{63B3BB69-23CF-44E3-9099-C40C66FF867C}">
                  <a14:compatExt spid="_x0000_s77860"/>
                </a:ext>
                <a:ext uri="{FF2B5EF4-FFF2-40B4-BE49-F238E27FC236}">
                  <a16:creationId xmlns:a16="http://schemas.microsoft.com/office/drawing/2014/main" id="{00000000-0008-0000-0700-000024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2</xdr:col>
      <xdr:colOff>91107</xdr:colOff>
      <xdr:row>1</xdr:row>
      <xdr:rowOff>84298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004390" cy="73034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1104900</xdr:colOff>
          <xdr:row>51</xdr:row>
          <xdr:rowOff>38100</xdr:rowOff>
        </xdr:from>
        <xdr:to>
          <xdr:col>3</xdr:col>
          <xdr:colOff>57150</xdr:colOff>
          <xdr:row>52</xdr:row>
          <xdr:rowOff>104775</xdr:rowOff>
        </xdr:to>
        <xdr:sp macro="" textlink="">
          <xdr:nvSpPr>
            <xdr:cNvPr id="77866" name="Check Box 42" hidden="1">
              <a:extLst>
                <a:ext uri="{63B3BB69-23CF-44E3-9099-C40C66FF867C}">
                  <a14:compatExt spid="_x0000_s77866"/>
                </a:ext>
                <a:ext uri="{FF2B5EF4-FFF2-40B4-BE49-F238E27FC236}">
                  <a16:creationId xmlns:a16="http://schemas.microsoft.com/office/drawing/2014/main" id="{00000000-0008-0000-0700-00002A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256760</xdr:colOff>
      <xdr:row>63</xdr:row>
      <xdr:rowOff>74543</xdr:rowOff>
    </xdr:from>
    <xdr:to>
      <xdr:col>2</xdr:col>
      <xdr:colOff>19877</xdr:colOff>
      <xdr:row>64</xdr:row>
      <xdr:rowOff>139976</xdr:rowOff>
    </xdr:to>
    <xdr:sp macro="[0]!ADD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256760" y="6750326"/>
          <a:ext cx="1676400" cy="247650"/>
        </a:xfrm>
        <a:prstGeom prst="rect">
          <a:avLst/>
        </a:prstGeom>
        <a:solidFill>
          <a:srgbClr val="C00000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CA" sz="1100" b="1">
              <a:solidFill>
                <a:schemeClr val="bg1"/>
              </a:solidFill>
            </a:rPr>
            <a:t>FINALIZE</a:t>
          </a:r>
          <a:r>
            <a:rPr lang="en-CA" sz="1100" b="1" baseline="0">
              <a:solidFill>
                <a:schemeClr val="bg1"/>
              </a:solidFill>
            </a:rPr>
            <a:t> PAGE</a:t>
          </a:r>
          <a:endParaRPr lang="en-CA" sz="1100" b="1">
            <a:solidFill>
              <a:schemeClr val="bg1"/>
            </a:solidFill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1</xdr:col>
          <xdr:colOff>9525</xdr:colOff>
          <xdr:row>2</xdr:row>
          <xdr:rowOff>200025</xdr:rowOff>
        </xdr:to>
        <xdr:sp macro="" textlink="">
          <xdr:nvSpPr>
            <xdr:cNvPr id="92162" name="Option Button 2" hidden="1">
              <a:extLst>
                <a:ext uri="{63B3BB69-23CF-44E3-9099-C40C66FF867C}">
                  <a14:compatExt spid="_x0000_s92162"/>
                </a:ext>
                <a:ext uri="{FF2B5EF4-FFF2-40B4-BE49-F238E27FC236}">
                  <a16:creationId xmlns:a16="http://schemas.microsoft.com/office/drawing/2014/main" id="{00000000-0008-0000-0800-000002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1</xdr:col>
          <xdr:colOff>9525</xdr:colOff>
          <xdr:row>2</xdr:row>
          <xdr:rowOff>200025</xdr:rowOff>
        </xdr:to>
        <xdr:sp macro="" textlink="">
          <xdr:nvSpPr>
            <xdr:cNvPr id="92163" name="Option Button 3" hidden="1">
              <a:extLst>
                <a:ext uri="{63B3BB69-23CF-44E3-9099-C40C66FF867C}">
                  <a14:compatExt spid="_x0000_s92163"/>
                </a:ext>
                <a:ext uri="{FF2B5EF4-FFF2-40B4-BE49-F238E27FC236}">
                  <a16:creationId xmlns:a16="http://schemas.microsoft.com/office/drawing/2014/main" id="{00000000-0008-0000-0800-000003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1</xdr:col>
          <xdr:colOff>19050</xdr:colOff>
          <xdr:row>2</xdr:row>
          <xdr:rowOff>190500</xdr:rowOff>
        </xdr:to>
        <xdr:sp macro="" textlink="">
          <xdr:nvSpPr>
            <xdr:cNvPr id="92164" name="Option Button 4" hidden="1">
              <a:extLst>
                <a:ext uri="{63B3BB69-23CF-44E3-9099-C40C66FF867C}">
                  <a14:compatExt spid="_x0000_s92164"/>
                </a:ext>
                <a:ext uri="{FF2B5EF4-FFF2-40B4-BE49-F238E27FC236}">
                  <a16:creationId xmlns:a16="http://schemas.microsoft.com/office/drawing/2014/main" id="{00000000-0008-0000-0800-000004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1</xdr:col>
          <xdr:colOff>9525</xdr:colOff>
          <xdr:row>2</xdr:row>
          <xdr:rowOff>200025</xdr:rowOff>
        </xdr:to>
        <xdr:sp macro="" textlink="">
          <xdr:nvSpPr>
            <xdr:cNvPr id="92165" name="Option Button 5" hidden="1">
              <a:extLst>
                <a:ext uri="{63B3BB69-23CF-44E3-9099-C40C66FF867C}">
                  <a14:compatExt spid="_x0000_s92165"/>
                </a:ext>
                <a:ext uri="{FF2B5EF4-FFF2-40B4-BE49-F238E27FC236}">
                  <a16:creationId xmlns:a16="http://schemas.microsoft.com/office/drawing/2014/main" id="{00000000-0008-0000-0800-000005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0</xdr:col>
          <xdr:colOff>152400</xdr:colOff>
          <xdr:row>2</xdr:row>
          <xdr:rowOff>190500</xdr:rowOff>
        </xdr:to>
        <xdr:sp macro="" textlink="">
          <xdr:nvSpPr>
            <xdr:cNvPr id="92166" name="Option Button 6" hidden="1">
              <a:extLst>
                <a:ext uri="{63B3BB69-23CF-44E3-9099-C40C66FF867C}">
                  <a14:compatExt spid="_x0000_s92166"/>
                </a:ext>
                <a:ext uri="{FF2B5EF4-FFF2-40B4-BE49-F238E27FC236}">
                  <a16:creationId xmlns:a16="http://schemas.microsoft.com/office/drawing/2014/main" id="{00000000-0008-0000-0800-000006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1</xdr:col>
          <xdr:colOff>9525</xdr:colOff>
          <xdr:row>2</xdr:row>
          <xdr:rowOff>180975</xdr:rowOff>
        </xdr:to>
        <xdr:sp macro="" textlink="">
          <xdr:nvSpPr>
            <xdr:cNvPr id="92167" name="Option Button 7" hidden="1">
              <a:extLst>
                <a:ext uri="{63B3BB69-23CF-44E3-9099-C40C66FF867C}">
                  <a14:compatExt spid="_x0000_s92167"/>
                </a:ext>
                <a:ext uri="{FF2B5EF4-FFF2-40B4-BE49-F238E27FC236}">
                  <a16:creationId xmlns:a16="http://schemas.microsoft.com/office/drawing/2014/main" id="{00000000-0008-0000-0800-000007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1</xdr:col>
          <xdr:colOff>19050</xdr:colOff>
          <xdr:row>2</xdr:row>
          <xdr:rowOff>200025</xdr:rowOff>
        </xdr:to>
        <xdr:sp macro="" textlink="">
          <xdr:nvSpPr>
            <xdr:cNvPr id="92168" name="Option Button 8" hidden="1">
              <a:extLst>
                <a:ext uri="{63B3BB69-23CF-44E3-9099-C40C66FF867C}">
                  <a14:compatExt spid="_x0000_s92168"/>
                </a:ext>
                <a:ext uri="{FF2B5EF4-FFF2-40B4-BE49-F238E27FC236}">
                  <a16:creationId xmlns:a16="http://schemas.microsoft.com/office/drawing/2014/main" id="{00000000-0008-0000-0800-000008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1</xdr:col>
          <xdr:colOff>38100</xdr:colOff>
          <xdr:row>2</xdr:row>
          <xdr:rowOff>200025</xdr:rowOff>
        </xdr:to>
        <xdr:sp macro="" textlink="">
          <xdr:nvSpPr>
            <xdr:cNvPr id="92169" name="Option Button 9" hidden="1">
              <a:extLst>
                <a:ext uri="{63B3BB69-23CF-44E3-9099-C40C66FF867C}">
                  <a14:compatExt spid="_x0000_s92169"/>
                </a:ext>
                <a:ext uri="{FF2B5EF4-FFF2-40B4-BE49-F238E27FC236}">
                  <a16:creationId xmlns:a16="http://schemas.microsoft.com/office/drawing/2014/main" id="{00000000-0008-0000-0800-000009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1</xdr:col>
          <xdr:colOff>38100</xdr:colOff>
          <xdr:row>2</xdr:row>
          <xdr:rowOff>180975</xdr:rowOff>
        </xdr:to>
        <xdr:sp macro="" textlink="">
          <xdr:nvSpPr>
            <xdr:cNvPr id="92170" name="Option Button 10" hidden="1">
              <a:extLst>
                <a:ext uri="{63B3BB69-23CF-44E3-9099-C40C66FF867C}">
                  <a14:compatExt spid="_x0000_s92170"/>
                </a:ext>
                <a:ext uri="{FF2B5EF4-FFF2-40B4-BE49-F238E27FC236}">
                  <a16:creationId xmlns:a16="http://schemas.microsoft.com/office/drawing/2014/main" id="{00000000-0008-0000-0800-00000A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1</xdr:col>
          <xdr:colOff>9525</xdr:colOff>
          <xdr:row>2</xdr:row>
          <xdr:rowOff>180975</xdr:rowOff>
        </xdr:to>
        <xdr:sp macro="" textlink="">
          <xdr:nvSpPr>
            <xdr:cNvPr id="92171" name="Option Button 11" hidden="1">
              <a:extLst>
                <a:ext uri="{63B3BB69-23CF-44E3-9099-C40C66FF867C}">
                  <a14:compatExt spid="_x0000_s92171"/>
                </a:ext>
                <a:ext uri="{FF2B5EF4-FFF2-40B4-BE49-F238E27FC236}">
                  <a16:creationId xmlns:a16="http://schemas.microsoft.com/office/drawing/2014/main" id="{00000000-0008-0000-0800-00000B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1</xdr:col>
          <xdr:colOff>57150</xdr:colOff>
          <xdr:row>2</xdr:row>
          <xdr:rowOff>228600</xdr:rowOff>
        </xdr:to>
        <xdr:sp macro="" textlink="">
          <xdr:nvSpPr>
            <xdr:cNvPr id="92172" name="Check Box 12" hidden="1">
              <a:extLst>
                <a:ext uri="{63B3BB69-23CF-44E3-9099-C40C66FF867C}">
                  <a14:compatExt spid="_x0000_s92172"/>
                </a:ext>
                <a:ext uri="{FF2B5EF4-FFF2-40B4-BE49-F238E27FC236}">
                  <a16:creationId xmlns:a16="http://schemas.microsoft.com/office/drawing/2014/main" id="{00000000-0008-0000-0800-00000C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0</xdr:col>
          <xdr:colOff>152400</xdr:colOff>
          <xdr:row>2</xdr:row>
          <xdr:rowOff>200025</xdr:rowOff>
        </xdr:to>
        <xdr:sp macro="" textlink="">
          <xdr:nvSpPr>
            <xdr:cNvPr id="92173" name="Check Box 13" hidden="1">
              <a:extLst>
                <a:ext uri="{63B3BB69-23CF-44E3-9099-C40C66FF867C}">
                  <a14:compatExt spid="_x0000_s92173"/>
                </a:ext>
                <a:ext uri="{FF2B5EF4-FFF2-40B4-BE49-F238E27FC236}">
                  <a16:creationId xmlns:a16="http://schemas.microsoft.com/office/drawing/2014/main" id="{00000000-0008-0000-0800-00000D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1</xdr:col>
          <xdr:colOff>38100</xdr:colOff>
          <xdr:row>2</xdr:row>
          <xdr:rowOff>219075</xdr:rowOff>
        </xdr:to>
        <xdr:sp macro="" textlink="">
          <xdr:nvSpPr>
            <xdr:cNvPr id="92174" name="Check Box 14" hidden="1">
              <a:extLst>
                <a:ext uri="{63B3BB69-23CF-44E3-9099-C40C66FF867C}">
                  <a14:compatExt spid="_x0000_s92174"/>
                </a:ext>
                <a:ext uri="{FF2B5EF4-FFF2-40B4-BE49-F238E27FC236}">
                  <a16:creationId xmlns:a16="http://schemas.microsoft.com/office/drawing/2014/main" id="{00000000-0008-0000-0800-00000E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1</xdr:col>
          <xdr:colOff>38100</xdr:colOff>
          <xdr:row>2</xdr:row>
          <xdr:rowOff>219075</xdr:rowOff>
        </xdr:to>
        <xdr:sp macro="" textlink="">
          <xdr:nvSpPr>
            <xdr:cNvPr id="92175" name="Check Box 15" hidden="1">
              <a:extLst>
                <a:ext uri="{63B3BB69-23CF-44E3-9099-C40C66FF867C}">
                  <a14:compatExt spid="_x0000_s92175"/>
                </a:ext>
                <a:ext uri="{FF2B5EF4-FFF2-40B4-BE49-F238E27FC236}">
                  <a16:creationId xmlns:a16="http://schemas.microsoft.com/office/drawing/2014/main" id="{00000000-0008-0000-0800-00000F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1</xdr:col>
          <xdr:colOff>38100</xdr:colOff>
          <xdr:row>2</xdr:row>
          <xdr:rowOff>228600</xdr:rowOff>
        </xdr:to>
        <xdr:sp macro="" textlink="">
          <xdr:nvSpPr>
            <xdr:cNvPr id="92176" name="Check Box 16" hidden="1">
              <a:extLst>
                <a:ext uri="{63B3BB69-23CF-44E3-9099-C40C66FF867C}">
                  <a14:compatExt spid="_x0000_s92176"/>
                </a:ext>
                <a:ext uri="{FF2B5EF4-FFF2-40B4-BE49-F238E27FC236}">
                  <a16:creationId xmlns:a16="http://schemas.microsoft.com/office/drawing/2014/main" id="{00000000-0008-0000-0800-000010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2</xdr:col>
      <xdr:colOff>99616</xdr:colOff>
      <xdr:row>2</xdr:row>
      <xdr:rowOff>268162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736725" cy="643209"/>
        </a:xfrm>
        <a:prstGeom prst="rect">
          <a:avLst/>
        </a:prstGeom>
      </xdr:spPr>
    </xdr:pic>
    <xdr:clientData/>
  </xdr:twoCellAnchor>
  <xdr:twoCellAnchor>
    <xdr:from>
      <xdr:col>1</xdr:col>
      <xdr:colOff>200025</xdr:colOff>
      <xdr:row>78</xdr:row>
      <xdr:rowOff>95250</xdr:rowOff>
    </xdr:from>
    <xdr:to>
      <xdr:col>2</xdr:col>
      <xdr:colOff>400050</xdr:colOff>
      <xdr:row>79</xdr:row>
      <xdr:rowOff>76200</xdr:rowOff>
    </xdr:to>
    <xdr:sp macro="[0]!ADD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361950" y="15392400"/>
          <a:ext cx="1676400" cy="247650"/>
        </a:xfrm>
        <a:prstGeom prst="rect">
          <a:avLst/>
        </a:prstGeom>
        <a:solidFill>
          <a:srgbClr val="C00000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CA" sz="1100" b="1">
              <a:solidFill>
                <a:schemeClr val="bg1"/>
              </a:solidFill>
            </a:rPr>
            <a:t>FINALIZE</a:t>
          </a:r>
          <a:r>
            <a:rPr lang="en-CA" sz="1100" b="1" baseline="0">
              <a:solidFill>
                <a:schemeClr val="bg1"/>
              </a:solidFill>
            </a:rPr>
            <a:t> PAGE</a:t>
          </a:r>
          <a:endParaRPr lang="en-CA" sz="1100" b="1">
            <a:solidFill>
              <a:schemeClr val="bg1"/>
            </a:solidFill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47625</xdr:colOff>
      <xdr:row>0</xdr:row>
      <xdr:rowOff>104775</xdr:rowOff>
    </xdr:from>
    <xdr:to>
      <xdr:col>1</xdr:col>
      <xdr:colOff>630134</xdr:colOff>
      <xdr:row>1</xdr:row>
      <xdr:rowOff>200025</xdr:rowOff>
    </xdr:to>
    <xdr:pic>
      <xdr:nvPicPr>
        <xdr:cNvPr id="2" name="Picture 1" descr="template_logo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 bwMode="auto">
        <a:xfrm>
          <a:off x="47625" y="104775"/>
          <a:ext cx="1430234" cy="6381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3</xdr:col>
      <xdr:colOff>552450</xdr:colOff>
      <xdr:row>0</xdr:row>
      <xdr:rowOff>9525</xdr:rowOff>
    </xdr:from>
    <xdr:to>
      <xdr:col>6</xdr:col>
      <xdr:colOff>295275</xdr:colOff>
      <xdr:row>0</xdr:row>
      <xdr:rowOff>485775</xdr:rowOff>
    </xdr:to>
    <xdr:sp macro="" textlink="">
      <xdr:nvSpPr>
        <xdr:cNvPr id="3" name="Text Box 3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 txBox="1">
          <a:spLocks noChangeArrowheads="1"/>
        </xdr:cNvSpPr>
      </xdr:nvSpPr>
      <xdr:spPr bwMode="auto">
        <a:xfrm>
          <a:off x="3676650" y="9525"/>
          <a:ext cx="2266950" cy="476250"/>
        </a:xfrm>
        <a:prstGeom prst="rect">
          <a:avLst/>
        </a:prstGeom>
        <a:solidFill>
          <a:srgbClr val="FFFFFF">
            <a:alpha val="0"/>
          </a:srgbClr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91440" tIns="45720" rIns="91440" bIns="45720" anchor="ctr" upright="1"/>
        <a:lstStyle/>
        <a:p>
          <a:pPr algn="r" rtl="0">
            <a:defRPr sz="1000"/>
          </a:pPr>
          <a:r>
            <a:rPr lang="en-US" sz="2000" b="1" i="0" u="none" strike="noStrike" baseline="0">
              <a:solidFill>
                <a:schemeClr val="accent1">
                  <a:lumMod val="75000"/>
                </a:schemeClr>
              </a:solidFill>
              <a:latin typeface="+mj-lt"/>
            </a:rPr>
            <a:t>QUOTE</a:t>
          </a:r>
          <a:endParaRPr lang="en-US">
            <a:solidFill>
              <a:schemeClr val="accent1">
                <a:lumMod val="75000"/>
              </a:schemeClr>
            </a:solidFill>
            <a:latin typeface="+mj-lt"/>
          </a:endParaRPr>
        </a:p>
      </xdr:txBody>
    </xdr:sp>
    <xdr:clientData/>
  </xdr:twoCellAnchor>
  <xdr:twoCellAnchor>
    <xdr:from>
      <xdr:col>2</xdr:col>
      <xdr:colOff>352425</xdr:colOff>
      <xdr:row>2</xdr:row>
      <xdr:rowOff>95250</xdr:rowOff>
    </xdr:from>
    <xdr:to>
      <xdr:col>4</xdr:col>
      <xdr:colOff>171450</xdr:colOff>
      <xdr:row>3</xdr:row>
      <xdr:rowOff>0</xdr:rowOff>
    </xdr:to>
    <xdr:sp macro="" textlink="">
      <xdr:nvSpPr>
        <xdr:cNvPr id="4" name="Text Box 5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 txBox="1">
          <a:spLocks noChangeArrowheads="1"/>
        </xdr:cNvSpPr>
      </xdr:nvSpPr>
      <xdr:spPr bwMode="auto">
        <a:xfrm>
          <a:off x="2600325" y="847725"/>
          <a:ext cx="1524000" cy="114300"/>
        </a:xfrm>
        <a:prstGeom prst="rect">
          <a:avLst/>
        </a:prstGeom>
        <a:solidFill>
          <a:srgbClr val="FFFFFF">
            <a:alpha val="0"/>
          </a:srgbClr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57150</xdr:colOff>
      <xdr:row>56</xdr:row>
      <xdr:rowOff>152400</xdr:rowOff>
    </xdr:from>
    <xdr:to>
      <xdr:col>1</xdr:col>
      <xdr:colOff>885825</xdr:colOff>
      <xdr:row>58</xdr:row>
      <xdr:rowOff>0</xdr:rowOff>
    </xdr:to>
    <xdr:sp macro="[0]!ADD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SpPr/>
      </xdr:nvSpPr>
      <xdr:spPr>
        <a:xfrm>
          <a:off x="57150" y="11487150"/>
          <a:ext cx="1676400" cy="247650"/>
        </a:xfrm>
        <a:prstGeom prst="rect">
          <a:avLst/>
        </a:prstGeom>
        <a:solidFill>
          <a:srgbClr val="C00000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CA" sz="1100" b="1">
              <a:solidFill>
                <a:schemeClr val="bg1"/>
              </a:solidFill>
            </a:rPr>
            <a:t>FINALIZE</a:t>
          </a:r>
          <a:r>
            <a:rPr lang="en-CA" sz="1100" b="1" baseline="0">
              <a:solidFill>
                <a:schemeClr val="bg1"/>
              </a:solidFill>
            </a:rPr>
            <a:t> PAGE</a:t>
          </a:r>
          <a:endParaRPr lang="en-CA" sz="1100" b="1">
            <a:solidFill>
              <a:schemeClr val="bg1"/>
            </a:solidFill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absoluteAnchor>
    <xdr:pos x="47625" y="104775"/>
    <xdr:ext cx="1430234" cy="638175"/>
    <xdr:pic>
      <xdr:nvPicPr>
        <xdr:cNvPr id="2" name="Picture 1" descr="template_logo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 bwMode="auto">
        <a:xfrm>
          <a:off x="47625" y="104775"/>
          <a:ext cx="1430234" cy="6381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absoluteAnchor>
  <xdr:absoluteAnchor>
    <xdr:pos x="3676650" y="9525"/>
    <xdr:ext cx="2266950" cy="476250"/>
    <xdr:sp macro="" textlink="">
      <xdr:nvSpPr>
        <xdr:cNvPr id="3" name="Text Box 3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 txBox="1">
          <a:spLocks noChangeArrowheads="1"/>
        </xdr:cNvSpPr>
      </xdr:nvSpPr>
      <xdr:spPr bwMode="auto">
        <a:xfrm>
          <a:off x="3676650" y="9525"/>
          <a:ext cx="2266950" cy="476250"/>
        </a:xfrm>
        <a:prstGeom prst="rect">
          <a:avLst/>
        </a:prstGeom>
        <a:solidFill>
          <a:srgbClr val="FFFFFF">
            <a:alpha val="0"/>
          </a:srgbClr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91440" tIns="45720" rIns="91440" bIns="45720" anchor="ctr" upright="1"/>
        <a:lstStyle/>
        <a:p>
          <a:pPr algn="r" rtl="0">
            <a:defRPr sz="1000"/>
          </a:pPr>
          <a:r>
            <a:rPr lang="en-US" sz="2000" b="1" i="0" u="none" strike="noStrike" baseline="0">
              <a:solidFill>
                <a:schemeClr val="accent1">
                  <a:lumMod val="75000"/>
                </a:schemeClr>
              </a:solidFill>
              <a:latin typeface="+mj-lt"/>
            </a:rPr>
            <a:t>QUOTE</a:t>
          </a:r>
          <a:endParaRPr lang="en-US">
            <a:solidFill>
              <a:schemeClr val="accent1">
                <a:lumMod val="75000"/>
              </a:schemeClr>
            </a:solidFill>
            <a:latin typeface="+mj-lt"/>
          </a:endParaRPr>
        </a:p>
      </xdr:txBody>
    </xdr:sp>
    <xdr:clientData/>
  </xdr:absoluteAnchor>
  <xdr:twoCellAnchor>
    <xdr:from>
      <xdr:col>2</xdr:col>
      <xdr:colOff>352425</xdr:colOff>
      <xdr:row>2</xdr:row>
      <xdr:rowOff>95250</xdr:rowOff>
    </xdr:from>
    <xdr:to>
      <xdr:col>4</xdr:col>
      <xdr:colOff>171450</xdr:colOff>
      <xdr:row>3</xdr:row>
      <xdr:rowOff>0</xdr:rowOff>
    </xdr:to>
    <xdr:sp macro="" textlink="">
      <xdr:nvSpPr>
        <xdr:cNvPr id="4" name="Text Box 5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SpPr txBox="1">
          <a:spLocks noChangeArrowheads="1"/>
        </xdr:cNvSpPr>
      </xdr:nvSpPr>
      <xdr:spPr bwMode="auto">
        <a:xfrm>
          <a:off x="2600325" y="847725"/>
          <a:ext cx="1524000" cy="114300"/>
        </a:xfrm>
        <a:prstGeom prst="rect">
          <a:avLst/>
        </a:prstGeom>
        <a:solidFill>
          <a:srgbClr val="FFFFFF">
            <a:alpha val="0"/>
          </a:srgbClr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247650</xdr:colOff>
      <xdr:row>56</xdr:row>
      <xdr:rowOff>142875</xdr:rowOff>
    </xdr:from>
    <xdr:to>
      <xdr:col>1</xdr:col>
      <xdr:colOff>1076325</xdr:colOff>
      <xdr:row>57</xdr:row>
      <xdr:rowOff>190500</xdr:rowOff>
    </xdr:to>
    <xdr:sp macro="[0]!ADD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SpPr/>
      </xdr:nvSpPr>
      <xdr:spPr>
        <a:xfrm>
          <a:off x="247650" y="11477625"/>
          <a:ext cx="1676400" cy="247650"/>
        </a:xfrm>
        <a:prstGeom prst="rect">
          <a:avLst/>
        </a:prstGeom>
        <a:solidFill>
          <a:srgbClr val="C00000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CA" sz="1100" b="1">
              <a:solidFill>
                <a:schemeClr val="bg1"/>
              </a:solidFill>
            </a:rPr>
            <a:t>FINALIZE</a:t>
          </a:r>
          <a:r>
            <a:rPr lang="en-CA" sz="1100" b="1" baseline="0">
              <a:solidFill>
                <a:schemeClr val="bg1"/>
              </a:solidFill>
            </a:rPr>
            <a:t> PAGE</a:t>
          </a:r>
          <a:endParaRPr lang="en-CA" sz="1100" b="1">
            <a:solidFill>
              <a:schemeClr val="bg1"/>
            </a:solidFill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absoluteAnchor>
    <xdr:pos x="47625" y="104775"/>
    <xdr:ext cx="1430234" cy="638175"/>
    <xdr:pic>
      <xdr:nvPicPr>
        <xdr:cNvPr id="2" name="Picture 1" descr="template_logo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 bwMode="auto">
        <a:xfrm>
          <a:off x="47625" y="104775"/>
          <a:ext cx="1430234" cy="6381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absoluteAnchor>
  <xdr:absoluteAnchor>
    <xdr:pos x="3676650" y="9525"/>
    <xdr:ext cx="2266950" cy="476250"/>
    <xdr:sp macro="" textlink="">
      <xdr:nvSpPr>
        <xdr:cNvPr id="3" name="Text Box 3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 txBox="1">
          <a:spLocks noChangeArrowheads="1"/>
        </xdr:cNvSpPr>
      </xdr:nvSpPr>
      <xdr:spPr bwMode="auto">
        <a:xfrm>
          <a:off x="3676650" y="9525"/>
          <a:ext cx="2266950" cy="476250"/>
        </a:xfrm>
        <a:prstGeom prst="rect">
          <a:avLst/>
        </a:prstGeom>
        <a:solidFill>
          <a:srgbClr val="FFFFFF">
            <a:alpha val="0"/>
          </a:srgbClr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91440" tIns="45720" rIns="91440" bIns="45720" anchor="ctr" upright="1"/>
        <a:lstStyle/>
        <a:p>
          <a:pPr algn="r" rtl="0">
            <a:defRPr sz="1000"/>
          </a:pPr>
          <a:r>
            <a:rPr lang="en-US" sz="2000" b="1" i="0" u="none" strike="noStrike" baseline="0">
              <a:solidFill>
                <a:schemeClr val="accent1">
                  <a:lumMod val="75000"/>
                </a:schemeClr>
              </a:solidFill>
              <a:latin typeface="+mj-lt"/>
            </a:rPr>
            <a:t>QUOTE</a:t>
          </a:r>
          <a:endParaRPr lang="en-US">
            <a:solidFill>
              <a:schemeClr val="accent1">
                <a:lumMod val="75000"/>
              </a:schemeClr>
            </a:solidFill>
            <a:latin typeface="+mj-lt"/>
          </a:endParaRPr>
        </a:p>
      </xdr:txBody>
    </xdr:sp>
    <xdr:clientData/>
  </xdr:absoluteAnchor>
  <xdr:twoCellAnchor>
    <xdr:from>
      <xdr:col>2</xdr:col>
      <xdr:colOff>352425</xdr:colOff>
      <xdr:row>2</xdr:row>
      <xdr:rowOff>95250</xdr:rowOff>
    </xdr:from>
    <xdr:to>
      <xdr:col>4</xdr:col>
      <xdr:colOff>171450</xdr:colOff>
      <xdr:row>3</xdr:row>
      <xdr:rowOff>0</xdr:rowOff>
    </xdr:to>
    <xdr:sp macro="" textlink="">
      <xdr:nvSpPr>
        <xdr:cNvPr id="4" name="Text Box 5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SpPr txBox="1">
          <a:spLocks noChangeArrowheads="1"/>
        </xdr:cNvSpPr>
      </xdr:nvSpPr>
      <xdr:spPr bwMode="auto">
        <a:xfrm>
          <a:off x="2600325" y="847725"/>
          <a:ext cx="1524000" cy="114300"/>
        </a:xfrm>
        <a:prstGeom prst="rect">
          <a:avLst/>
        </a:prstGeom>
        <a:solidFill>
          <a:srgbClr val="FFFFFF">
            <a:alpha val="0"/>
          </a:srgbClr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85725</xdr:colOff>
      <xdr:row>56</xdr:row>
      <xdr:rowOff>76200</xdr:rowOff>
    </xdr:from>
    <xdr:to>
      <xdr:col>1</xdr:col>
      <xdr:colOff>914400</xdr:colOff>
      <xdr:row>57</xdr:row>
      <xdr:rowOff>123825</xdr:rowOff>
    </xdr:to>
    <xdr:sp macro="[0]!ADD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SpPr/>
      </xdr:nvSpPr>
      <xdr:spPr>
        <a:xfrm>
          <a:off x="85725" y="11410950"/>
          <a:ext cx="1676400" cy="247650"/>
        </a:xfrm>
        <a:prstGeom prst="rect">
          <a:avLst/>
        </a:prstGeom>
        <a:solidFill>
          <a:srgbClr val="C00000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CA" sz="1100" b="1">
              <a:solidFill>
                <a:schemeClr val="bg1"/>
              </a:solidFill>
            </a:rPr>
            <a:t>FINALIZE</a:t>
          </a:r>
          <a:r>
            <a:rPr lang="en-CA" sz="1100" b="1" baseline="0">
              <a:solidFill>
                <a:schemeClr val="bg1"/>
              </a:solidFill>
            </a:rPr>
            <a:t> PAGE</a:t>
          </a:r>
          <a:endParaRPr lang="en-CA" sz="1100" b="1">
            <a:solidFill>
              <a:schemeClr val="bg1"/>
            </a:solidFill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171450</xdr:colOff>
      <xdr:row>1</xdr:row>
      <xdr:rowOff>9524</xdr:rowOff>
    </xdr:from>
    <xdr:to>
      <xdr:col>5</xdr:col>
      <xdr:colOff>76200</xdr:colOff>
      <xdr:row>2</xdr:row>
      <xdr:rowOff>95249</xdr:rowOff>
    </xdr:to>
    <xdr:sp macro="[0]!CombineQuotes1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2924175" y="200024"/>
          <a:ext cx="1123950" cy="276225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CA" sz="1100" b="1">
              <a:solidFill>
                <a:schemeClr val="bg1"/>
              </a:solidFill>
            </a:rPr>
            <a:t>REFRESH</a:t>
          </a:r>
          <a:r>
            <a:rPr lang="en-CA" sz="1100" b="1" baseline="0">
              <a:solidFill>
                <a:schemeClr val="bg1"/>
              </a:solidFill>
            </a:rPr>
            <a:t> PAGE</a:t>
          </a:r>
          <a:endParaRPr lang="en-CA" sz="11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</xdr:col>
      <xdr:colOff>0</xdr:colOff>
      <xdr:row>1</xdr:row>
      <xdr:rowOff>38100</xdr:rowOff>
    </xdr:from>
    <xdr:to>
      <xdr:col>2</xdr:col>
      <xdr:colOff>710232</xdr:colOff>
      <xdr:row>5</xdr:row>
      <xdr:rowOff>17623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228600"/>
          <a:ext cx="2005632" cy="741523"/>
        </a:xfrm>
        <a:prstGeom prst="rect">
          <a:avLst/>
        </a:prstGeom>
      </xdr:spPr>
    </xdr:pic>
    <xdr:clientData/>
  </xdr:twoCellAnchor>
  <xdr:twoCellAnchor>
    <xdr:from>
      <xdr:col>5</xdr:col>
      <xdr:colOff>133350</xdr:colOff>
      <xdr:row>1</xdr:row>
      <xdr:rowOff>9524</xdr:rowOff>
    </xdr:from>
    <xdr:to>
      <xdr:col>7</xdr:col>
      <xdr:colOff>9525</xdr:colOff>
      <xdr:row>2</xdr:row>
      <xdr:rowOff>95249</xdr:rowOff>
    </xdr:to>
    <xdr:sp macro="[0]!BackToStart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SpPr/>
      </xdr:nvSpPr>
      <xdr:spPr>
        <a:xfrm>
          <a:off x="4105275" y="200024"/>
          <a:ext cx="1190625" cy="276225"/>
        </a:xfrm>
        <a:prstGeom prst="rect">
          <a:avLst/>
        </a:prstGeom>
        <a:solidFill>
          <a:srgbClr val="C00000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CA" sz="1100" b="1">
              <a:solidFill>
                <a:schemeClr val="bg1"/>
              </a:solidFill>
            </a:rPr>
            <a:t>QUOTE MORE</a:t>
          </a:r>
        </a:p>
      </xdr:txBody>
    </xdr:sp>
    <xdr:clientData/>
  </xdr:twoCellAnchor>
  <xdr:twoCellAnchor>
    <xdr:from>
      <xdr:col>5</xdr:col>
      <xdr:colOff>133350</xdr:colOff>
      <xdr:row>2</xdr:row>
      <xdr:rowOff>161924</xdr:rowOff>
    </xdr:from>
    <xdr:to>
      <xdr:col>7</xdr:col>
      <xdr:colOff>9525</xdr:colOff>
      <xdr:row>4</xdr:row>
      <xdr:rowOff>57149</xdr:rowOff>
    </xdr:to>
    <xdr:sp macro="[0]!SaveAndClose.SaveAndClose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SpPr/>
      </xdr:nvSpPr>
      <xdr:spPr>
        <a:xfrm>
          <a:off x="4105275" y="542924"/>
          <a:ext cx="1190625" cy="276225"/>
        </a:xfrm>
        <a:prstGeom prst="rect">
          <a:avLst/>
        </a:prstGeom>
        <a:solidFill>
          <a:srgbClr val="C00000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CA" sz="1100" b="1">
              <a:solidFill>
                <a:schemeClr val="bg1"/>
              </a:solidFill>
            </a:rPr>
            <a:t>SAVE AND CLOSE</a:t>
          </a:r>
        </a:p>
      </xdr:txBody>
    </xdr:sp>
    <xdr:clientData/>
  </xdr:twoCellAnchor>
  <xdr:twoCellAnchor>
    <xdr:from>
      <xdr:col>3</xdr:col>
      <xdr:colOff>171450</xdr:colOff>
      <xdr:row>2</xdr:row>
      <xdr:rowOff>152399</xdr:rowOff>
    </xdr:from>
    <xdr:to>
      <xdr:col>5</xdr:col>
      <xdr:colOff>76200</xdr:colOff>
      <xdr:row>4</xdr:row>
      <xdr:rowOff>47624</xdr:rowOff>
    </xdr:to>
    <xdr:sp macro="[0]!PrintPage" textlink="">
      <xdr:nvSpPr>
        <xdr:cNvPr id="6" name="Rectangle 5">
          <a:extLst>
            <a:ext uri="{FF2B5EF4-FFF2-40B4-BE49-F238E27FC236}">
              <a16:creationId xmlns:a16="http://schemas.microsoft.com/office/drawing/2014/main" id="{DCD07718-50CA-43BE-BDEA-3C34028C9C17}"/>
            </a:ext>
          </a:extLst>
        </xdr:cNvPr>
        <xdr:cNvSpPr/>
      </xdr:nvSpPr>
      <xdr:spPr>
        <a:xfrm>
          <a:off x="3638550" y="533399"/>
          <a:ext cx="1590675" cy="276225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CA" sz="1100" b="1">
              <a:solidFill>
                <a:schemeClr val="bg1"/>
              </a:solidFill>
            </a:rPr>
            <a:t>PRINT</a:t>
          </a:r>
          <a:r>
            <a:rPr lang="en-CA" sz="1100" b="1" baseline="0">
              <a:solidFill>
                <a:schemeClr val="bg1"/>
              </a:solidFill>
            </a:rPr>
            <a:t> PAGE</a:t>
          </a:r>
          <a:endParaRPr lang="en-CA" sz="1100" b="1">
            <a:solidFill>
              <a:schemeClr val="bg1"/>
            </a:solidFill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1</xdr:row>
      <xdr:rowOff>0</xdr:rowOff>
    </xdr:from>
    <xdr:to>
      <xdr:col>16384</xdr:col>
      <xdr:colOff>1676400</xdr:colOff>
      <xdr:row>2</xdr:row>
      <xdr:rowOff>47625</xdr:rowOff>
    </xdr:to>
    <xdr:sp macro="[0]!ADD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/>
      </xdr:nvSpPr>
      <xdr:spPr>
        <a:xfrm>
          <a:off x="6372225" y="200025"/>
          <a:ext cx="1676400" cy="247650"/>
        </a:xfrm>
        <a:prstGeom prst="rect">
          <a:avLst/>
        </a:prstGeom>
        <a:solidFill>
          <a:srgbClr val="C00000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CA" sz="1100" b="1">
              <a:solidFill>
                <a:schemeClr val="bg1"/>
              </a:solidFill>
            </a:rPr>
            <a:t>FINALIZE</a:t>
          </a:r>
          <a:r>
            <a:rPr lang="en-CA" sz="1100" b="1" baseline="0">
              <a:solidFill>
                <a:schemeClr val="bg1"/>
              </a:solidFill>
            </a:rPr>
            <a:t> PAGE</a:t>
          </a:r>
          <a:endParaRPr lang="en-CA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123825</xdr:colOff>
      <xdr:row>18</xdr:row>
      <xdr:rowOff>66675</xdr:rowOff>
    </xdr:from>
    <xdr:to>
      <xdr:col>2</xdr:col>
      <xdr:colOff>66675</xdr:colOff>
      <xdr:row>19</xdr:row>
      <xdr:rowOff>38100</xdr:rowOff>
    </xdr:to>
    <xdr:sp macro="[0]!ADD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SpPr/>
      </xdr:nvSpPr>
      <xdr:spPr>
        <a:xfrm>
          <a:off x="123825" y="3733800"/>
          <a:ext cx="1676400" cy="247650"/>
        </a:xfrm>
        <a:prstGeom prst="rect">
          <a:avLst/>
        </a:prstGeom>
        <a:solidFill>
          <a:srgbClr val="C00000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CA" sz="1100" b="1">
              <a:solidFill>
                <a:schemeClr val="bg1"/>
              </a:solidFill>
            </a:rPr>
            <a:t>FINALIZE</a:t>
          </a:r>
          <a:r>
            <a:rPr lang="en-CA" sz="1100" b="1" baseline="0">
              <a:solidFill>
                <a:schemeClr val="bg1"/>
              </a:solidFill>
            </a:rPr>
            <a:t> PAGE</a:t>
          </a:r>
          <a:endParaRPr lang="en-CA" sz="1100" b="1">
            <a:solidFill>
              <a:schemeClr val="bg1"/>
            </a:solidFill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absoluteAnchor>
    <xdr:pos x="47625" y="104775"/>
    <xdr:ext cx="1430234" cy="638175"/>
    <xdr:pic>
      <xdr:nvPicPr>
        <xdr:cNvPr id="2" name="Picture 1" descr="template_logo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 bwMode="auto">
        <a:xfrm>
          <a:off x="47625" y="104775"/>
          <a:ext cx="1430234" cy="6381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absoluteAnchor>
  <xdr:absoluteAnchor>
    <xdr:pos x="3676650" y="9525"/>
    <xdr:ext cx="2266950" cy="476250"/>
    <xdr:sp macro="" textlink="">
      <xdr:nvSpPr>
        <xdr:cNvPr id="3" name="Text Box 3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SpPr txBox="1">
          <a:spLocks noChangeArrowheads="1"/>
        </xdr:cNvSpPr>
      </xdr:nvSpPr>
      <xdr:spPr bwMode="auto">
        <a:xfrm>
          <a:off x="3676650" y="9525"/>
          <a:ext cx="2266950" cy="476250"/>
        </a:xfrm>
        <a:prstGeom prst="rect">
          <a:avLst/>
        </a:prstGeom>
        <a:solidFill>
          <a:srgbClr val="FFFFFF">
            <a:alpha val="0"/>
          </a:srgbClr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91440" tIns="45720" rIns="91440" bIns="45720" anchor="ctr" upright="1"/>
        <a:lstStyle/>
        <a:p>
          <a:pPr algn="r" rtl="0">
            <a:defRPr sz="1000"/>
          </a:pPr>
          <a:r>
            <a:rPr lang="en-US" sz="2000" b="1" i="0" u="none" strike="noStrike" baseline="0">
              <a:solidFill>
                <a:schemeClr val="accent1">
                  <a:lumMod val="75000"/>
                </a:schemeClr>
              </a:solidFill>
              <a:latin typeface="+mj-lt"/>
            </a:rPr>
            <a:t>QUOTE</a:t>
          </a:r>
          <a:endParaRPr lang="en-US">
            <a:solidFill>
              <a:schemeClr val="accent1">
                <a:lumMod val="75000"/>
              </a:schemeClr>
            </a:solidFill>
            <a:latin typeface="+mj-lt"/>
          </a:endParaRPr>
        </a:p>
      </xdr:txBody>
    </xdr:sp>
    <xdr:clientData/>
  </xdr:absoluteAnchor>
  <xdr:twoCellAnchor>
    <xdr:from>
      <xdr:col>2</xdr:col>
      <xdr:colOff>352425</xdr:colOff>
      <xdr:row>2</xdr:row>
      <xdr:rowOff>95250</xdr:rowOff>
    </xdr:from>
    <xdr:to>
      <xdr:col>4</xdr:col>
      <xdr:colOff>171450</xdr:colOff>
      <xdr:row>3</xdr:row>
      <xdr:rowOff>0</xdr:rowOff>
    </xdr:to>
    <xdr:sp macro="" textlink="">
      <xdr:nvSpPr>
        <xdr:cNvPr id="4" name="Text Box 5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SpPr txBox="1">
          <a:spLocks noChangeArrowheads="1"/>
        </xdr:cNvSpPr>
      </xdr:nvSpPr>
      <xdr:spPr bwMode="auto">
        <a:xfrm>
          <a:off x="1571625" y="419100"/>
          <a:ext cx="1038225" cy="66675"/>
        </a:xfrm>
        <a:prstGeom prst="rect">
          <a:avLst/>
        </a:prstGeom>
        <a:solidFill>
          <a:srgbClr val="FFFFFF">
            <a:alpha val="0"/>
          </a:srgbClr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285750</xdr:colOff>
      <xdr:row>52</xdr:row>
      <xdr:rowOff>85725</xdr:rowOff>
    </xdr:from>
    <xdr:to>
      <xdr:col>1</xdr:col>
      <xdr:colOff>1114425</xdr:colOff>
      <xdr:row>53</xdr:row>
      <xdr:rowOff>133350</xdr:rowOff>
    </xdr:to>
    <xdr:sp macro="[0]!ADD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1000-000005000000}"/>
            </a:ext>
          </a:extLst>
        </xdr:cNvPr>
        <xdr:cNvSpPr/>
      </xdr:nvSpPr>
      <xdr:spPr>
        <a:xfrm>
          <a:off x="285750" y="10582275"/>
          <a:ext cx="1676400" cy="247650"/>
        </a:xfrm>
        <a:prstGeom prst="rect">
          <a:avLst/>
        </a:prstGeom>
        <a:solidFill>
          <a:srgbClr val="C00000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CA" sz="1100" b="1">
              <a:solidFill>
                <a:schemeClr val="bg1"/>
              </a:solidFill>
            </a:rPr>
            <a:t>FINALIZE</a:t>
          </a:r>
          <a:r>
            <a:rPr lang="en-CA" sz="1100" b="1" baseline="0">
              <a:solidFill>
                <a:schemeClr val="bg1"/>
              </a:solidFill>
            </a:rPr>
            <a:t> PAGE</a:t>
          </a:r>
          <a:endParaRPr lang="en-CA" sz="1100" b="1">
            <a:solidFill>
              <a:schemeClr val="bg1"/>
            </a:solidFill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absoluteAnchor>
    <xdr:pos x="47625" y="104775"/>
    <xdr:ext cx="1430234" cy="638175"/>
    <xdr:pic>
      <xdr:nvPicPr>
        <xdr:cNvPr id="2" name="Picture 1" descr="template_logo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 bwMode="auto">
        <a:xfrm>
          <a:off x="47625" y="104775"/>
          <a:ext cx="1430234" cy="6381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absoluteAnchor>
  <xdr:absoluteAnchor>
    <xdr:pos x="3676650" y="9525"/>
    <xdr:ext cx="2266950" cy="476250"/>
    <xdr:sp macro="" textlink="">
      <xdr:nvSpPr>
        <xdr:cNvPr id="3" name="Text Box 3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SpPr txBox="1">
          <a:spLocks noChangeArrowheads="1"/>
        </xdr:cNvSpPr>
      </xdr:nvSpPr>
      <xdr:spPr bwMode="auto">
        <a:xfrm>
          <a:off x="3676650" y="9525"/>
          <a:ext cx="2266950" cy="476250"/>
        </a:xfrm>
        <a:prstGeom prst="rect">
          <a:avLst/>
        </a:prstGeom>
        <a:solidFill>
          <a:srgbClr val="FFFFFF">
            <a:alpha val="0"/>
          </a:srgbClr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91440" tIns="45720" rIns="91440" bIns="45720" anchor="ctr" upright="1"/>
        <a:lstStyle/>
        <a:p>
          <a:pPr algn="r" rtl="0">
            <a:defRPr sz="1000"/>
          </a:pPr>
          <a:r>
            <a:rPr lang="en-US" sz="2000" b="1" i="0" u="none" strike="noStrike" baseline="0">
              <a:solidFill>
                <a:schemeClr val="accent1">
                  <a:lumMod val="75000"/>
                </a:schemeClr>
              </a:solidFill>
              <a:latin typeface="+mj-lt"/>
            </a:rPr>
            <a:t>QUOTE</a:t>
          </a:r>
          <a:endParaRPr lang="en-US">
            <a:solidFill>
              <a:schemeClr val="accent1">
                <a:lumMod val="75000"/>
              </a:schemeClr>
            </a:solidFill>
            <a:latin typeface="+mj-lt"/>
          </a:endParaRPr>
        </a:p>
      </xdr:txBody>
    </xdr:sp>
    <xdr:clientData/>
  </xdr:absoluteAnchor>
  <xdr:twoCellAnchor>
    <xdr:from>
      <xdr:col>2</xdr:col>
      <xdr:colOff>352425</xdr:colOff>
      <xdr:row>2</xdr:row>
      <xdr:rowOff>95250</xdr:rowOff>
    </xdr:from>
    <xdr:to>
      <xdr:col>4</xdr:col>
      <xdr:colOff>171450</xdr:colOff>
      <xdr:row>3</xdr:row>
      <xdr:rowOff>0</xdr:rowOff>
    </xdr:to>
    <xdr:sp macro="" textlink="">
      <xdr:nvSpPr>
        <xdr:cNvPr id="4" name="Text Box 5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SpPr txBox="1">
          <a:spLocks noChangeArrowheads="1"/>
        </xdr:cNvSpPr>
      </xdr:nvSpPr>
      <xdr:spPr bwMode="auto">
        <a:xfrm>
          <a:off x="1571625" y="419100"/>
          <a:ext cx="1038225" cy="66675"/>
        </a:xfrm>
        <a:prstGeom prst="rect">
          <a:avLst/>
        </a:prstGeom>
        <a:solidFill>
          <a:srgbClr val="FFFFFF">
            <a:alpha val="0"/>
          </a:srgbClr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247650</xdr:colOff>
      <xdr:row>52</xdr:row>
      <xdr:rowOff>171450</xdr:rowOff>
    </xdr:from>
    <xdr:to>
      <xdr:col>1</xdr:col>
      <xdr:colOff>1076325</xdr:colOff>
      <xdr:row>54</xdr:row>
      <xdr:rowOff>19050</xdr:rowOff>
    </xdr:to>
    <xdr:sp macro="[0]!ADD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1100-000005000000}"/>
            </a:ext>
          </a:extLst>
        </xdr:cNvPr>
        <xdr:cNvSpPr/>
      </xdr:nvSpPr>
      <xdr:spPr>
        <a:xfrm>
          <a:off x="247650" y="10668000"/>
          <a:ext cx="1676400" cy="247650"/>
        </a:xfrm>
        <a:prstGeom prst="rect">
          <a:avLst/>
        </a:prstGeom>
        <a:solidFill>
          <a:srgbClr val="C00000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CA" sz="1100" b="1">
              <a:solidFill>
                <a:schemeClr val="bg1"/>
              </a:solidFill>
            </a:rPr>
            <a:t>FINALIZE</a:t>
          </a:r>
          <a:r>
            <a:rPr lang="en-CA" sz="1100" b="1" baseline="0">
              <a:solidFill>
                <a:schemeClr val="bg1"/>
              </a:solidFill>
            </a:rPr>
            <a:t> PAGE</a:t>
          </a:r>
          <a:endParaRPr lang="en-CA" sz="1100" b="1">
            <a:solidFill>
              <a:schemeClr val="bg1"/>
            </a:solidFill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47625" y="104775"/>
    <xdr:ext cx="1430234" cy="638175"/>
    <xdr:pic>
      <xdr:nvPicPr>
        <xdr:cNvPr id="2" name="Picture 1" descr="template_logo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 bwMode="auto">
        <a:xfrm>
          <a:off x="47625" y="104775"/>
          <a:ext cx="1430234" cy="6381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absoluteAnchor>
  <xdr:absoluteAnchor>
    <xdr:pos x="3676650" y="9525"/>
    <xdr:ext cx="2266950" cy="476250"/>
    <xdr:sp macro="" textlink="">
      <xdr:nvSpPr>
        <xdr:cNvPr id="3" name="Text Box 3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SpPr txBox="1">
          <a:spLocks noChangeArrowheads="1"/>
        </xdr:cNvSpPr>
      </xdr:nvSpPr>
      <xdr:spPr bwMode="auto">
        <a:xfrm>
          <a:off x="3676650" y="9525"/>
          <a:ext cx="2266950" cy="476250"/>
        </a:xfrm>
        <a:prstGeom prst="rect">
          <a:avLst/>
        </a:prstGeom>
        <a:solidFill>
          <a:srgbClr val="FFFFFF">
            <a:alpha val="0"/>
          </a:srgbClr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91440" tIns="45720" rIns="91440" bIns="45720" anchor="ctr" upright="1"/>
        <a:lstStyle/>
        <a:p>
          <a:pPr algn="r" rtl="0">
            <a:defRPr sz="1000"/>
          </a:pPr>
          <a:r>
            <a:rPr lang="en-US" sz="2000" b="1" i="0" u="none" strike="noStrike" baseline="0">
              <a:solidFill>
                <a:schemeClr val="accent1">
                  <a:lumMod val="75000"/>
                </a:schemeClr>
              </a:solidFill>
              <a:latin typeface="+mj-lt"/>
            </a:rPr>
            <a:t>QUOTE</a:t>
          </a:r>
          <a:endParaRPr lang="en-US">
            <a:solidFill>
              <a:schemeClr val="accent1">
                <a:lumMod val="75000"/>
              </a:schemeClr>
            </a:solidFill>
            <a:latin typeface="+mj-lt"/>
          </a:endParaRPr>
        </a:p>
      </xdr:txBody>
    </xdr:sp>
    <xdr:clientData/>
  </xdr:absoluteAnchor>
  <xdr:twoCellAnchor>
    <xdr:from>
      <xdr:col>2</xdr:col>
      <xdr:colOff>352425</xdr:colOff>
      <xdr:row>2</xdr:row>
      <xdr:rowOff>95250</xdr:rowOff>
    </xdr:from>
    <xdr:to>
      <xdr:col>4</xdr:col>
      <xdr:colOff>171450</xdr:colOff>
      <xdr:row>3</xdr:row>
      <xdr:rowOff>0</xdr:rowOff>
    </xdr:to>
    <xdr:sp macro="" textlink="">
      <xdr:nvSpPr>
        <xdr:cNvPr id="4" name="Text Box 5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SpPr txBox="1">
          <a:spLocks noChangeArrowheads="1"/>
        </xdr:cNvSpPr>
      </xdr:nvSpPr>
      <xdr:spPr bwMode="auto">
        <a:xfrm>
          <a:off x="1571625" y="419100"/>
          <a:ext cx="1038225" cy="66675"/>
        </a:xfrm>
        <a:prstGeom prst="rect">
          <a:avLst/>
        </a:prstGeom>
        <a:solidFill>
          <a:srgbClr val="FFFFFF">
            <a:alpha val="0"/>
          </a:srgbClr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476250</xdr:colOff>
      <xdr:row>52</xdr:row>
      <xdr:rowOff>38100</xdr:rowOff>
    </xdr:from>
    <xdr:to>
      <xdr:col>1</xdr:col>
      <xdr:colOff>1304925</xdr:colOff>
      <xdr:row>53</xdr:row>
      <xdr:rowOff>85725</xdr:rowOff>
    </xdr:to>
    <xdr:sp macro="[0]!ADD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1200-000005000000}"/>
            </a:ext>
          </a:extLst>
        </xdr:cNvPr>
        <xdr:cNvSpPr/>
      </xdr:nvSpPr>
      <xdr:spPr>
        <a:xfrm>
          <a:off x="476250" y="10534650"/>
          <a:ext cx="1676400" cy="247650"/>
        </a:xfrm>
        <a:prstGeom prst="rect">
          <a:avLst/>
        </a:prstGeom>
        <a:solidFill>
          <a:srgbClr val="C00000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CA" sz="1100" b="1">
              <a:solidFill>
                <a:schemeClr val="bg1"/>
              </a:solidFill>
            </a:rPr>
            <a:t>FINALIZE</a:t>
          </a:r>
          <a:r>
            <a:rPr lang="en-CA" sz="1100" b="1" baseline="0">
              <a:solidFill>
                <a:schemeClr val="bg1"/>
              </a:solidFill>
            </a:rPr>
            <a:t> PAGE</a:t>
          </a:r>
          <a:endParaRPr lang="en-CA" sz="1100" b="1">
            <a:solidFill>
              <a:schemeClr val="bg1"/>
            </a:solidFill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47625" y="104775"/>
    <xdr:ext cx="1430234" cy="638175"/>
    <xdr:pic>
      <xdr:nvPicPr>
        <xdr:cNvPr id="2" name="Picture 1" descr="template_logo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 bwMode="auto">
        <a:xfrm>
          <a:off x="47625" y="104775"/>
          <a:ext cx="1430234" cy="6381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absoluteAnchor>
  <xdr:absoluteAnchor>
    <xdr:pos x="3676650" y="9525"/>
    <xdr:ext cx="2266950" cy="476250"/>
    <xdr:sp macro="" textlink="">
      <xdr:nvSpPr>
        <xdr:cNvPr id="3" name="Text Box 3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SpPr txBox="1">
          <a:spLocks noChangeArrowheads="1"/>
        </xdr:cNvSpPr>
      </xdr:nvSpPr>
      <xdr:spPr bwMode="auto">
        <a:xfrm>
          <a:off x="3676650" y="9525"/>
          <a:ext cx="2266950" cy="476250"/>
        </a:xfrm>
        <a:prstGeom prst="rect">
          <a:avLst/>
        </a:prstGeom>
        <a:solidFill>
          <a:srgbClr val="FFFFFF">
            <a:alpha val="0"/>
          </a:srgbClr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91440" tIns="45720" rIns="91440" bIns="45720" anchor="ctr" upright="1"/>
        <a:lstStyle/>
        <a:p>
          <a:pPr algn="r" rtl="0">
            <a:defRPr sz="1000"/>
          </a:pPr>
          <a:r>
            <a:rPr lang="en-US" sz="2000" b="1" i="0" u="none" strike="noStrike" baseline="0">
              <a:solidFill>
                <a:schemeClr val="accent1">
                  <a:lumMod val="75000"/>
                </a:schemeClr>
              </a:solidFill>
              <a:latin typeface="+mj-lt"/>
            </a:rPr>
            <a:t>QUOTE</a:t>
          </a:r>
          <a:endParaRPr lang="en-US">
            <a:solidFill>
              <a:schemeClr val="accent1">
                <a:lumMod val="75000"/>
              </a:schemeClr>
            </a:solidFill>
            <a:latin typeface="+mj-lt"/>
          </a:endParaRPr>
        </a:p>
      </xdr:txBody>
    </xdr:sp>
    <xdr:clientData/>
  </xdr:absoluteAnchor>
  <xdr:twoCellAnchor>
    <xdr:from>
      <xdr:col>2</xdr:col>
      <xdr:colOff>352425</xdr:colOff>
      <xdr:row>2</xdr:row>
      <xdr:rowOff>95250</xdr:rowOff>
    </xdr:from>
    <xdr:to>
      <xdr:col>4</xdr:col>
      <xdr:colOff>171450</xdr:colOff>
      <xdr:row>3</xdr:row>
      <xdr:rowOff>0</xdr:rowOff>
    </xdr:to>
    <xdr:sp macro="" textlink="">
      <xdr:nvSpPr>
        <xdr:cNvPr id="4" name="Text Box 5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SpPr txBox="1">
          <a:spLocks noChangeArrowheads="1"/>
        </xdr:cNvSpPr>
      </xdr:nvSpPr>
      <xdr:spPr bwMode="auto">
        <a:xfrm>
          <a:off x="1571625" y="419100"/>
          <a:ext cx="1038225" cy="66675"/>
        </a:xfrm>
        <a:prstGeom prst="rect">
          <a:avLst/>
        </a:prstGeom>
        <a:solidFill>
          <a:srgbClr val="FFFFFF">
            <a:alpha val="0"/>
          </a:srgbClr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161925</xdr:colOff>
      <xdr:row>56</xdr:row>
      <xdr:rowOff>85725</xdr:rowOff>
    </xdr:from>
    <xdr:to>
      <xdr:col>1</xdr:col>
      <xdr:colOff>990600</xdr:colOff>
      <xdr:row>57</xdr:row>
      <xdr:rowOff>133350</xdr:rowOff>
    </xdr:to>
    <xdr:sp macro="[0]!ADD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SpPr/>
      </xdr:nvSpPr>
      <xdr:spPr>
        <a:xfrm>
          <a:off x="161925" y="11420475"/>
          <a:ext cx="1676400" cy="247650"/>
        </a:xfrm>
        <a:prstGeom prst="rect">
          <a:avLst/>
        </a:prstGeom>
        <a:solidFill>
          <a:srgbClr val="C00000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CA" sz="1100" b="1">
              <a:solidFill>
                <a:schemeClr val="bg1"/>
              </a:solidFill>
            </a:rPr>
            <a:t>FINALIZE</a:t>
          </a:r>
          <a:r>
            <a:rPr lang="en-CA" sz="1100" b="1" baseline="0">
              <a:solidFill>
                <a:schemeClr val="bg1"/>
              </a:solidFill>
            </a:rPr>
            <a:t> PAGE</a:t>
          </a:r>
          <a:endParaRPr lang="en-CA" sz="1100" b="1">
            <a:solidFill>
              <a:schemeClr val="bg1"/>
            </a:solidFill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47625" y="104775"/>
    <xdr:ext cx="1430234" cy="638175"/>
    <xdr:pic>
      <xdr:nvPicPr>
        <xdr:cNvPr id="2" name="Picture 1" descr="template_logo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 bwMode="auto">
        <a:xfrm>
          <a:off x="47625" y="104775"/>
          <a:ext cx="1430234" cy="6381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absoluteAnchor>
  <xdr:absoluteAnchor>
    <xdr:pos x="3676650" y="9525"/>
    <xdr:ext cx="2266950" cy="476250"/>
    <xdr:sp macro="" textlink="">
      <xdr:nvSpPr>
        <xdr:cNvPr id="3" name="Text Box 3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SpPr txBox="1">
          <a:spLocks noChangeArrowheads="1"/>
        </xdr:cNvSpPr>
      </xdr:nvSpPr>
      <xdr:spPr bwMode="auto">
        <a:xfrm>
          <a:off x="3676650" y="9525"/>
          <a:ext cx="2266950" cy="476250"/>
        </a:xfrm>
        <a:prstGeom prst="rect">
          <a:avLst/>
        </a:prstGeom>
        <a:solidFill>
          <a:srgbClr val="FFFFFF">
            <a:alpha val="0"/>
          </a:srgbClr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91440" tIns="45720" rIns="91440" bIns="45720" anchor="ctr" upright="1"/>
        <a:lstStyle/>
        <a:p>
          <a:pPr algn="r" rtl="0">
            <a:defRPr sz="1000"/>
          </a:pPr>
          <a:r>
            <a:rPr lang="en-US" sz="2000" b="1" i="0" u="none" strike="noStrike" baseline="0">
              <a:solidFill>
                <a:schemeClr val="accent1">
                  <a:lumMod val="75000"/>
                </a:schemeClr>
              </a:solidFill>
              <a:latin typeface="+mj-lt"/>
            </a:rPr>
            <a:t>QUOTE</a:t>
          </a:r>
          <a:endParaRPr lang="en-US">
            <a:solidFill>
              <a:schemeClr val="accent1">
                <a:lumMod val="75000"/>
              </a:schemeClr>
            </a:solidFill>
            <a:latin typeface="+mj-lt"/>
          </a:endParaRPr>
        </a:p>
      </xdr:txBody>
    </xdr:sp>
    <xdr:clientData/>
  </xdr:absoluteAnchor>
  <xdr:twoCellAnchor>
    <xdr:from>
      <xdr:col>2</xdr:col>
      <xdr:colOff>352425</xdr:colOff>
      <xdr:row>2</xdr:row>
      <xdr:rowOff>95250</xdr:rowOff>
    </xdr:from>
    <xdr:to>
      <xdr:col>4</xdr:col>
      <xdr:colOff>171450</xdr:colOff>
      <xdr:row>3</xdr:row>
      <xdr:rowOff>0</xdr:rowOff>
    </xdr:to>
    <xdr:sp macro="" textlink="">
      <xdr:nvSpPr>
        <xdr:cNvPr id="4" name="Text Box 5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SpPr txBox="1">
          <a:spLocks noChangeArrowheads="1"/>
        </xdr:cNvSpPr>
      </xdr:nvSpPr>
      <xdr:spPr bwMode="auto">
        <a:xfrm>
          <a:off x="1571625" y="419100"/>
          <a:ext cx="1038225" cy="66675"/>
        </a:xfrm>
        <a:prstGeom prst="rect">
          <a:avLst/>
        </a:prstGeom>
        <a:solidFill>
          <a:srgbClr val="FFFFFF">
            <a:alpha val="0"/>
          </a:srgbClr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257175</xdr:colOff>
      <xdr:row>56</xdr:row>
      <xdr:rowOff>133350</xdr:rowOff>
    </xdr:from>
    <xdr:to>
      <xdr:col>2</xdr:col>
      <xdr:colOff>533400</xdr:colOff>
      <xdr:row>57</xdr:row>
      <xdr:rowOff>180975</xdr:rowOff>
    </xdr:to>
    <xdr:sp macro="[0]!ADD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1400-000005000000}"/>
            </a:ext>
          </a:extLst>
        </xdr:cNvPr>
        <xdr:cNvSpPr/>
      </xdr:nvSpPr>
      <xdr:spPr>
        <a:xfrm>
          <a:off x="1104900" y="11468100"/>
          <a:ext cx="1676400" cy="247650"/>
        </a:xfrm>
        <a:prstGeom prst="rect">
          <a:avLst/>
        </a:prstGeom>
        <a:solidFill>
          <a:srgbClr val="C00000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CA" sz="1100" b="1">
              <a:solidFill>
                <a:schemeClr val="bg1"/>
              </a:solidFill>
            </a:rPr>
            <a:t>FINALIZE</a:t>
          </a:r>
          <a:r>
            <a:rPr lang="en-CA" sz="1100" b="1" baseline="0">
              <a:solidFill>
                <a:schemeClr val="bg1"/>
              </a:solidFill>
            </a:rPr>
            <a:t> PAGE</a:t>
          </a:r>
          <a:endParaRPr lang="en-CA" sz="1100" b="1">
            <a:solidFill>
              <a:schemeClr val="bg1"/>
            </a:solidFill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47625" y="104775"/>
    <xdr:ext cx="1430234" cy="638175"/>
    <xdr:pic>
      <xdr:nvPicPr>
        <xdr:cNvPr id="2" name="Picture 1" descr="template_logo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 bwMode="auto">
        <a:xfrm>
          <a:off x="47625" y="104775"/>
          <a:ext cx="1430234" cy="6381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absoluteAnchor>
  <xdr:absoluteAnchor>
    <xdr:pos x="3676650" y="9525"/>
    <xdr:ext cx="2266950" cy="476250"/>
    <xdr:sp macro="" textlink="">
      <xdr:nvSpPr>
        <xdr:cNvPr id="3" name="Text Box 3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SpPr txBox="1">
          <a:spLocks noChangeArrowheads="1"/>
        </xdr:cNvSpPr>
      </xdr:nvSpPr>
      <xdr:spPr bwMode="auto">
        <a:xfrm>
          <a:off x="3676650" y="9525"/>
          <a:ext cx="2266950" cy="476250"/>
        </a:xfrm>
        <a:prstGeom prst="rect">
          <a:avLst/>
        </a:prstGeom>
        <a:solidFill>
          <a:srgbClr val="FFFFFF">
            <a:alpha val="0"/>
          </a:srgbClr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91440" tIns="45720" rIns="91440" bIns="45720" anchor="ctr" upright="1"/>
        <a:lstStyle/>
        <a:p>
          <a:pPr algn="r" rtl="0">
            <a:defRPr sz="1000"/>
          </a:pPr>
          <a:r>
            <a:rPr lang="en-US" sz="2000" b="1" i="0" u="none" strike="noStrike" baseline="0">
              <a:solidFill>
                <a:schemeClr val="accent1">
                  <a:lumMod val="75000"/>
                </a:schemeClr>
              </a:solidFill>
              <a:latin typeface="+mj-lt"/>
            </a:rPr>
            <a:t>QUOTE</a:t>
          </a:r>
          <a:endParaRPr lang="en-US">
            <a:solidFill>
              <a:schemeClr val="accent1">
                <a:lumMod val="75000"/>
              </a:schemeClr>
            </a:solidFill>
            <a:latin typeface="+mj-lt"/>
          </a:endParaRPr>
        </a:p>
      </xdr:txBody>
    </xdr:sp>
    <xdr:clientData/>
  </xdr:absoluteAnchor>
  <xdr:twoCellAnchor>
    <xdr:from>
      <xdr:col>2</xdr:col>
      <xdr:colOff>352425</xdr:colOff>
      <xdr:row>2</xdr:row>
      <xdr:rowOff>95250</xdr:rowOff>
    </xdr:from>
    <xdr:to>
      <xdr:col>4</xdr:col>
      <xdr:colOff>171450</xdr:colOff>
      <xdr:row>3</xdr:row>
      <xdr:rowOff>0</xdr:rowOff>
    </xdr:to>
    <xdr:sp macro="" textlink="">
      <xdr:nvSpPr>
        <xdr:cNvPr id="4" name="Text Box 5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SpPr txBox="1">
          <a:spLocks noChangeArrowheads="1"/>
        </xdr:cNvSpPr>
      </xdr:nvSpPr>
      <xdr:spPr bwMode="auto">
        <a:xfrm>
          <a:off x="1571625" y="419100"/>
          <a:ext cx="1038225" cy="66675"/>
        </a:xfrm>
        <a:prstGeom prst="rect">
          <a:avLst/>
        </a:prstGeom>
        <a:solidFill>
          <a:srgbClr val="FFFFFF">
            <a:alpha val="0"/>
          </a:srgbClr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247650</xdr:colOff>
      <xdr:row>50</xdr:row>
      <xdr:rowOff>85725</xdr:rowOff>
    </xdr:from>
    <xdr:to>
      <xdr:col>2</xdr:col>
      <xdr:colOff>114300</xdr:colOff>
      <xdr:row>51</xdr:row>
      <xdr:rowOff>133350</xdr:rowOff>
    </xdr:to>
    <xdr:sp macro="[0]!ADD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1500-000005000000}"/>
            </a:ext>
          </a:extLst>
        </xdr:cNvPr>
        <xdr:cNvSpPr/>
      </xdr:nvSpPr>
      <xdr:spPr>
        <a:xfrm>
          <a:off x="247650" y="10220325"/>
          <a:ext cx="1676400" cy="247650"/>
        </a:xfrm>
        <a:prstGeom prst="rect">
          <a:avLst/>
        </a:prstGeom>
        <a:solidFill>
          <a:srgbClr val="C00000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CA" sz="1100" b="1">
              <a:solidFill>
                <a:schemeClr val="bg1"/>
              </a:solidFill>
            </a:rPr>
            <a:t>FINALIZE</a:t>
          </a:r>
          <a:r>
            <a:rPr lang="en-CA" sz="1100" b="1" baseline="0">
              <a:solidFill>
                <a:schemeClr val="bg1"/>
              </a:solidFill>
            </a:rPr>
            <a:t> PAGE</a:t>
          </a:r>
          <a:endParaRPr lang="en-CA" sz="1100" b="1">
            <a:solidFill>
              <a:schemeClr val="bg1"/>
            </a:solidFill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47625" y="104775"/>
    <xdr:ext cx="1430234" cy="638175"/>
    <xdr:pic>
      <xdr:nvPicPr>
        <xdr:cNvPr id="2" name="Picture 1" descr="template_logo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 bwMode="auto">
        <a:xfrm>
          <a:off x="47625" y="104775"/>
          <a:ext cx="1430234" cy="6381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absoluteAnchor>
  <xdr:absoluteAnchor>
    <xdr:pos x="3676650" y="9525"/>
    <xdr:ext cx="2266950" cy="476250"/>
    <xdr:sp macro="" textlink="">
      <xdr:nvSpPr>
        <xdr:cNvPr id="3" name="Text Box 3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SpPr txBox="1">
          <a:spLocks noChangeArrowheads="1"/>
        </xdr:cNvSpPr>
      </xdr:nvSpPr>
      <xdr:spPr bwMode="auto">
        <a:xfrm>
          <a:off x="3676650" y="9525"/>
          <a:ext cx="2266950" cy="476250"/>
        </a:xfrm>
        <a:prstGeom prst="rect">
          <a:avLst/>
        </a:prstGeom>
        <a:solidFill>
          <a:srgbClr val="FFFFFF">
            <a:alpha val="0"/>
          </a:srgbClr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91440" tIns="45720" rIns="91440" bIns="45720" anchor="ctr" upright="1"/>
        <a:lstStyle/>
        <a:p>
          <a:pPr algn="r" rtl="0">
            <a:defRPr sz="1000"/>
          </a:pPr>
          <a:r>
            <a:rPr lang="en-US" sz="2000" b="1" i="0" u="none" strike="noStrike" baseline="0">
              <a:solidFill>
                <a:schemeClr val="accent1">
                  <a:lumMod val="75000"/>
                </a:schemeClr>
              </a:solidFill>
              <a:latin typeface="+mj-lt"/>
            </a:rPr>
            <a:t>QUOTE</a:t>
          </a:r>
          <a:endParaRPr lang="en-US">
            <a:solidFill>
              <a:schemeClr val="accent1">
                <a:lumMod val="75000"/>
              </a:schemeClr>
            </a:solidFill>
            <a:latin typeface="+mj-lt"/>
          </a:endParaRPr>
        </a:p>
      </xdr:txBody>
    </xdr:sp>
    <xdr:clientData/>
  </xdr:absoluteAnchor>
  <xdr:twoCellAnchor>
    <xdr:from>
      <xdr:col>2</xdr:col>
      <xdr:colOff>352425</xdr:colOff>
      <xdr:row>2</xdr:row>
      <xdr:rowOff>95250</xdr:rowOff>
    </xdr:from>
    <xdr:to>
      <xdr:col>4</xdr:col>
      <xdr:colOff>171450</xdr:colOff>
      <xdr:row>3</xdr:row>
      <xdr:rowOff>0</xdr:rowOff>
    </xdr:to>
    <xdr:sp macro="" textlink="">
      <xdr:nvSpPr>
        <xdr:cNvPr id="4" name="Text Box 5"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SpPr txBox="1">
          <a:spLocks noChangeArrowheads="1"/>
        </xdr:cNvSpPr>
      </xdr:nvSpPr>
      <xdr:spPr bwMode="auto">
        <a:xfrm>
          <a:off x="1571625" y="419100"/>
          <a:ext cx="1038225" cy="66675"/>
        </a:xfrm>
        <a:prstGeom prst="rect">
          <a:avLst/>
        </a:prstGeom>
        <a:solidFill>
          <a:srgbClr val="FFFFFF">
            <a:alpha val="0"/>
          </a:srgbClr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247650</xdr:colOff>
      <xdr:row>51</xdr:row>
      <xdr:rowOff>123825</xdr:rowOff>
    </xdr:from>
    <xdr:to>
      <xdr:col>2</xdr:col>
      <xdr:colOff>114300</xdr:colOff>
      <xdr:row>52</xdr:row>
      <xdr:rowOff>171450</xdr:rowOff>
    </xdr:to>
    <xdr:sp macro="[0]!ADD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1600-000005000000}"/>
            </a:ext>
          </a:extLst>
        </xdr:cNvPr>
        <xdr:cNvSpPr/>
      </xdr:nvSpPr>
      <xdr:spPr>
        <a:xfrm>
          <a:off x="247650" y="10420350"/>
          <a:ext cx="1676400" cy="247650"/>
        </a:xfrm>
        <a:prstGeom prst="rect">
          <a:avLst/>
        </a:prstGeom>
        <a:solidFill>
          <a:srgbClr val="C00000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CA" sz="1100" b="1">
              <a:solidFill>
                <a:schemeClr val="bg1"/>
              </a:solidFill>
            </a:rPr>
            <a:t>FINALIZE</a:t>
          </a:r>
          <a:r>
            <a:rPr lang="en-CA" sz="1100" b="1" baseline="0">
              <a:solidFill>
                <a:schemeClr val="bg1"/>
              </a:solidFill>
            </a:rPr>
            <a:t> PAGE</a:t>
          </a:r>
          <a:endParaRPr lang="en-CA" sz="1100" b="1">
            <a:solidFill>
              <a:schemeClr val="bg1"/>
            </a:solidFill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47625" y="104775"/>
    <xdr:ext cx="1430234" cy="638175"/>
    <xdr:pic>
      <xdr:nvPicPr>
        <xdr:cNvPr id="2" name="Picture 1" descr="template_logo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 bwMode="auto">
        <a:xfrm>
          <a:off x="47625" y="104775"/>
          <a:ext cx="1430234" cy="6381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absoluteAnchor>
  <xdr:absoluteAnchor>
    <xdr:pos x="3676650" y="9525"/>
    <xdr:ext cx="2266950" cy="476250"/>
    <xdr:sp macro="" textlink="">
      <xdr:nvSpPr>
        <xdr:cNvPr id="3" name="Text Box 3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SpPr txBox="1">
          <a:spLocks noChangeArrowheads="1"/>
        </xdr:cNvSpPr>
      </xdr:nvSpPr>
      <xdr:spPr bwMode="auto">
        <a:xfrm>
          <a:off x="3676650" y="9525"/>
          <a:ext cx="2266950" cy="476250"/>
        </a:xfrm>
        <a:prstGeom prst="rect">
          <a:avLst/>
        </a:prstGeom>
        <a:solidFill>
          <a:srgbClr val="FFFFFF">
            <a:alpha val="0"/>
          </a:srgbClr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91440" tIns="45720" rIns="91440" bIns="45720" anchor="ctr" upright="1"/>
        <a:lstStyle/>
        <a:p>
          <a:pPr algn="r" rtl="0">
            <a:defRPr sz="1000"/>
          </a:pPr>
          <a:r>
            <a:rPr lang="en-US" sz="2000" b="1" i="0" u="none" strike="noStrike" baseline="0">
              <a:solidFill>
                <a:schemeClr val="accent1">
                  <a:lumMod val="75000"/>
                </a:schemeClr>
              </a:solidFill>
              <a:latin typeface="+mj-lt"/>
            </a:rPr>
            <a:t>QUOTE</a:t>
          </a:r>
          <a:endParaRPr lang="en-US">
            <a:solidFill>
              <a:schemeClr val="accent1">
                <a:lumMod val="75000"/>
              </a:schemeClr>
            </a:solidFill>
            <a:latin typeface="+mj-lt"/>
          </a:endParaRPr>
        </a:p>
      </xdr:txBody>
    </xdr:sp>
    <xdr:clientData/>
  </xdr:absoluteAnchor>
  <xdr:twoCellAnchor>
    <xdr:from>
      <xdr:col>2</xdr:col>
      <xdr:colOff>352425</xdr:colOff>
      <xdr:row>2</xdr:row>
      <xdr:rowOff>95250</xdr:rowOff>
    </xdr:from>
    <xdr:to>
      <xdr:col>4</xdr:col>
      <xdr:colOff>171450</xdr:colOff>
      <xdr:row>3</xdr:row>
      <xdr:rowOff>0</xdr:rowOff>
    </xdr:to>
    <xdr:sp macro="" textlink="">
      <xdr:nvSpPr>
        <xdr:cNvPr id="4" name="Text Box 5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SpPr txBox="1">
          <a:spLocks noChangeArrowheads="1"/>
        </xdr:cNvSpPr>
      </xdr:nvSpPr>
      <xdr:spPr bwMode="auto">
        <a:xfrm>
          <a:off x="1571625" y="419100"/>
          <a:ext cx="1038225" cy="66675"/>
        </a:xfrm>
        <a:prstGeom prst="rect">
          <a:avLst/>
        </a:prstGeom>
        <a:solidFill>
          <a:srgbClr val="FFFFFF">
            <a:alpha val="0"/>
          </a:srgbClr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314325</xdr:colOff>
      <xdr:row>62</xdr:row>
      <xdr:rowOff>104775</xdr:rowOff>
    </xdr:from>
    <xdr:to>
      <xdr:col>1</xdr:col>
      <xdr:colOff>1143000</xdr:colOff>
      <xdr:row>63</xdr:row>
      <xdr:rowOff>152400</xdr:rowOff>
    </xdr:to>
    <xdr:sp macro="[0]!ADD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1700-000005000000}"/>
            </a:ext>
          </a:extLst>
        </xdr:cNvPr>
        <xdr:cNvSpPr/>
      </xdr:nvSpPr>
      <xdr:spPr>
        <a:xfrm>
          <a:off x="314325" y="12601575"/>
          <a:ext cx="1676400" cy="247650"/>
        </a:xfrm>
        <a:prstGeom prst="rect">
          <a:avLst/>
        </a:prstGeom>
        <a:solidFill>
          <a:srgbClr val="C00000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CA" sz="1100" b="1">
              <a:solidFill>
                <a:schemeClr val="bg1"/>
              </a:solidFill>
            </a:rPr>
            <a:t>FINALIZE</a:t>
          </a:r>
          <a:r>
            <a:rPr lang="en-CA" sz="1100" b="1" baseline="0">
              <a:solidFill>
                <a:schemeClr val="bg1"/>
              </a:solidFill>
            </a:rPr>
            <a:t> PAGE</a:t>
          </a:r>
          <a:endParaRPr lang="en-CA" sz="1100" b="1">
            <a:solidFill>
              <a:schemeClr val="bg1"/>
            </a:solidFill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47625" y="104775"/>
    <xdr:ext cx="1430234" cy="638175"/>
    <xdr:pic>
      <xdr:nvPicPr>
        <xdr:cNvPr id="2" name="Picture 1" descr="template_logo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 bwMode="auto">
        <a:xfrm>
          <a:off x="47625" y="104775"/>
          <a:ext cx="1430234" cy="6381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absoluteAnchor>
  <xdr:absoluteAnchor>
    <xdr:pos x="3676650" y="9525"/>
    <xdr:ext cx="2266950" cy="476250"/>
    <xdr:sp macro="" textlink="">
      <xdr:nvSpPr>
        <xdr:cNvPr id="3" name="Text Box 3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SpPr txBox="1">
          <a:spLocks noChangeArrowheads="1"/>
        </xdr:cNvSpPr>
      </xdr:nvSpPr>
      <xdr:spPr bwMode="auto">
        <a:xfrm>
          <a:off x="3676650" y="9525"/>
          <a:ext cx="2266950" cy="476250"/>
        </a:xfrm>
        <a:prstGeom prst="rect">
          <a:avLst/>
        </a:prstGeom>
        <a:solidFill>
          <a:srgbClr val="FFFFFF">
            <a:alpha val="0"/>
          </a:srgbClr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91440" tIns="45720" rIns="91440" bIns="45720" anchor="ctr" upright="1"/>
        <a:lstStyle/>
        <a:p>
          <a:pPr algn="r" rtl="0">
            <a:defRPr sz="1000"/>
          </a:pPr>
          <a:r>
            <a:rPr lang="en-US" sz="2000" b="1" i="0" u="none" strike="noStrike" baseline="0">
              <a:solidFill>
                <a:schemeClr val="accent1">
                  <a:lumMod val="75000"/>
                </a:schemeClr>
              </a:solidFill>
              <a:latin typeface="+mj-lt"/>
            </a:rPr>
            <a:t>QUOTE</a:t>
          </a:r>
          <a:endParaRPr lang="en-US">
            <a:solidFill>
              <a:schemeClr val="accent1">
                <a:lumMod val="75000"/>
              </a:schemeClr>
            </a:solidFill>
            <a:latin typeface="+mj-lt"/>
          </a:endParaRPr>
        </a:p>
      </xdr:txBody>
    </xdr:sp>
    <xdr:clientData/>
  </xdr:absoluteAnchor>
  <xdr:twoCellAnchor>
    <xdr:from>
      <xdr:col>2</xdr:col>
      <xdr:colOff>352425</xdr:colOff>
      <xdr:row>2</xdr:row>
      <xdr:rowOff>95250</xdr:rowOff>
    </xdr:from>
    <xdr:to>
      <xdr:col>4</xdr:col>
      <xdr:colOff>171450</xdr:colOff>
      <xdr:row>3</xdr:row>
      <xdr:rowOff>0</xdr:rowOff>
    </xdr:to>
    <xdr:sp macro="" textlink="">
      <xdr:nvSpPr>
        <xdr:cNvPr id="4" name="Text Box 5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SpPr txBox="1">
          <a:spLocks noChangeArrowheads="1"/>
        </xdr:cNvSpPr>
      </xdr:nvSpPr>
      <xdr:spPr bwMode="auto">
        <a:xfrm>
          <a:off x="1571625" y="419100"/>
          <a:ext cx="1038225" cy="66675"/>
        </a:xfrm>
        <a:prstGeom prst="rect">
          <a:avLst/>
        </a:prstGeom>
        <a:solidFill>
          <a:srgbClr val="FFFFFF">
            <a:alpha val="0"/>
          </a:srgbClr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371475</xdr:colOff>
      <xdr:row>51</xdr:row>
      <xdr:rowOff>85725</xdr:rowOff>
    </xdr:from>
    <xdr:to>
      <xdr:col>1</xdr:col>
      <xdr:colOff>1200150</xdr:colOff>
      <xdr:row>52</xdr:row>
      <xdr:rowOff>133350</xdr:rowOff>
    </xdr:to>
    <xdr:sp macro="[0]!ADD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1800-000005000000}"/>
            </a:ext>
          </a:extLst>
        </xdr:cNvPr>
        <xdr:cNvSpPr/>
      </xdr:nvSpPr>
      <xdr:spPr>
        <a:xfrm>
          <a:off x="371475" y="10382250"/>
          <a:ext cx="1676400" cy="247650"/>
        </a:xfrm>
        <a:prstGeom prst="rect">
          <a:avLst/>
        </a:prstGeom>
        <a:solidFill>
          <a:srgbClr val="C00000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CA" sz="1100" b="1">
              <a:solidFill>
                <a:schemeClr val="bg1"/>
              </a:solidFill>
            </a:rPr>
            <a:t>FINALIZE</a:t>
          </a:r>
          <a:r>
            <a:rPr lang="en-CA" sz="1100" b="1" baseline="0">
              <a:solidFill>
                <a:schemeClr val="bg1"/>
              </a:solidFill>
            </a:rPr>
            <a:t> PAGE</a:t>
          </a:r>
          <a:endParaRPr lang="en-CA" sz="1100" b="1">
            <a:solidFill>
              <a:schemeClr val="bg1"/>
            </a:solidFill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457200</xdr:colOff>
          <xdr:row>0</xdr:row>
          <xdr:rowOff>123825</xdr:rowOff>
        </xdr:from>
        <xdr:to>
          <xdr:col>12</xdr:col>
          <xdr:colOff>504825</xdr:colOff>
          <xdr:row>2</xdr:row>
          <xdr:rowOff>123825</xdr:rowOff>
        </xdr:to>
        <xdr:sp macro="" textlink="">
          <xdr:nvSpPr>
            <xdr:cNvPr id="313345" name="Button 1" hidden="1">
              <a:extLst>
                <a:ext uri="{63B3BB69-23CF-44E3-9099-C40C66FF867C}">
                  <a14:compatExt spid="_x0000_s313345"/>
                </a:ext>
                <a:ext uri="{FF2B5EF4-FFF2-40B4-BE49-F238E27FC236}">
                  <a16:creationId xmlns:a16="http://schemas.microsoft.com/office/drawing/2014/main" id="{00000000-0008-0000-1900-000001C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Item to Chart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6</xdr:row>
          <xdr:rowOff>19050</xdr:rowOff>
        </xdr:from>
        <xdr:to>
          <xdr:col>6</xdr:col>
          <xdr:colOff>228600</xdr:colOff>
          <xdr:row>7</xdr:row>
          <xdr:rowOff>38100</xdr:rowOff>
        </xdr:to>
        <xdr:sp macro="" textlink="">
          <xdr:nvSpPr>
            <xdr:cNvPr id="313352" name="btnDelete7" hidden="1">
              <a:extLst>
                <a:ext uri="{63B3BB69-23CF-44E3-9099-C40C66FF867C}">
                  <a14:compatExt spid="_x0000_s313352"/>
                </a:ext>
                <a:ext uri="{FF2B5EF4-FFF2-40B4-BE49-F238E27FC236}">
                  <a16:creationId xmlns:a16="http://schemas.microsoft.com/office/drawing/2014/main" id="{BA31C052-569B-B346-814D-7226DC25F1D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8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7</xdr:row>
          <xdr:rowOff>19050</xdr:rowOff>
        </xdr:from>
        <xdr:to>
          <xdr:col>6</xdr:col>
          <xdr:colOff>228600</xdr:colOff>
          <xdr:row>8</xdr:row>
          <xdr:rowOff>38100</xdr:rowOff>
        </xdr:to>
        <xdr:sp macro="" textlink="">
          <xdr:nvSpPr>
            <xdr:cNvPr id="313353" name="Button 9" hidden="1">
              <a:extLst>
                <a:ext uri="{63B3BB69-23CF-44E3-9099-C40C66FF867C}">
                  <a14:compatExt spid="_x0000_s313353"/>
                </a:ext>
                <a:ext uri="{FF2B5EF4-FFF2-40B4-BE49-F238E27FC236}">
                  <a16:creationId xmlns:a16="http://schemas.microsoft.com/office/drawing/2014/main" id="{D2FF5BA5-5F64-31AC-BFCB-D4C7A0FE14B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8</xdr:row>
          <xdr:rowOff>19050</xdr:rowOff>
        </xdr:from>
        <xdr:to>
          <xdr:col>6</xdr:col>
          <xdr:colOff>228600</xdr:colOff>
          <xdr:row>9</xdr:row>
          <xdr:rowOff>38100</xdr:rowOff>
        </xdr:to>
        <xdr:sp macro="" textlink="">
          <xdr:nvSpPr>
            <xdr:cNvPr id="313354" name="Button 10" hidden="1">
              <a:extLst>
                <a:ext uri="{63B3BB69-23CF-44E3-9099-C40C66FF867C}">
                  <a14:compatExt spid="_x0000_s313354"/>
                </a:ext>
                <a:ext uri="{FF2B5EF4-FFF2-40B4-BE49-F238E27FC236}">
                  <a16:creationId xmlns:a16="http://schemas.microsoft.com/office/drawing/2014/main" id="{BFC6B97E-8C76-2955-D849-76EA17121F8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9</xdr:row>
          <xdr:rowOff>19050</xdr:rowOff>
        </xdr:from>
        <xdr:to>
          <xdr:col>6</xdr:col>
          <xdr:colOff>228600</xdr:colOff>
          <xdr:row>10</xdr:row>
          <xdr:rowOff>38100</xdr:rowOff>
        </xdr:to>
        <xdr:sp macro="" textlink="">
          <xdr:nvSpPr>
            <xdr:cNvPr id="313355" name="Button 11" hidden="1">
              <a:extLst>
                <a:ext uri="{63B3BB69-23CF-44E3-9099-C40C66FF867C}">
                  <a14:compatExt spid="_x0000_s313355"/>
                </a:ext>
                <a:ext uri="{FF2B5EF4-FFF2-40B4-BE49-F238E27FC236}">
                  <a16:creationId xmlns:a16="http://schemas.microsoft.com/office/drawing/2014/main" id="{E4D66DCB-5919-E559-BA3B-364DDA0F35F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10</xdr:row>
          <xdr:rowOff>19050</xdr:rowOff>
        </xdr:from>
        <xdr:to>
          <xdr:col>6</xdr:col>
          <xdr:colOff>228600</xdr:colOff>
          <xdr:row>11</xdr:row>
          <xdr:rowOff>38100</xdr:rowOff>
        </xdr:to>
        <xdr:sp macro="" textlink="">
          <xdr:nvSpPr>
            <xdr:cNvPr id="313356" name="Button 12" hidden="1">
              <a:extLst>
                <a:ext uri="{63B3BB69-23CF-44E3-9099-C40C66FF867C}">
                  <a14:compatExt spid="_x0000_s313356"/>
                </a:ext>
                <a:ext uri="{FF2B5EF4-FFF2-40B4-BE49-F238E27FC236}">
                  <a16:creationId xmlns:a16="http://schemas.microsoft.com/office/drawing/2014/main" id="{D9FB0BC3-93F8-66ED-83DA-1C4CF5A32D3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12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6474363-8DE4-4541-AADC-16DECF33AD6A}" name="Table24" displayName="Table24" ref="E92:E97" totalsRowShown="0" headerRowDxfId="35" dataDxfId="34">
  <autoFilter ref="E92:E97" xr:uid="{D650E385-A5F8-4501-B70E-AA3D8F874A88}"/>
  <tableColumns count="1">
    <tableColumn id="1" xr3:uid="{42DE89E4-33BB-40E7-B859-6D853738865D}" name="Column1" dataDxfId="3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287BAF7-946B-4CD0-ABCB-89900133C6C8}" name="Table35" displayName="Table35" ref="E109:E112" totalsRowShown="0" dataDxfId="32" headerRowCellStyle="Good">
  <autoFilter ref="E109:E112" xr:uid="{34616F53-42D9-493E-B346-0AAC15F813B5}"/>
  <tableColumns count="1">
    <tableColumn id="1" xr3:uid="{95384B76-708C-477F-AC76-3B625F2CFFA3}" name="Yes/No" dataDxfId="3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84A55AF-5FAF-4A8E-9CD4-A293957582DC}" name="Table6" displayName="Table6" ref="E84:E88" totalsRowShown="0" headerRowDxfId="30" dataDxfId="29">
  <autoFilter ref="E84:E88" xr:uid="{884A55AF-5FAF-4A8E-9CD4-A293957582DC}"/>
  <tableColumns count="1">
    <tableColumn id="1" xr3:uid="{12F723D8-8747-4F51-8249-A5584FA3BA11}" name="Column1" dataDxfId="28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9ED4A1FB-35D7-4F78-8534-0D9053694A76}" name="Table7" displayName="Table7" ref="H86:H91" totalsRowShown="0" headerRowDxfId="27" dataDxfId="25" headerRowBorderDxfId="26" tableBorderDxfId="24" totalsRowBorderDxfId="23">
  <autoFilter ref="H86:H91" xr:uid="{9ED4A1FB-35D7-4F78-8534-0D9053694A76}"/>
  <tableColumns count="1">
    <tableColumn id="1" xr3:uid="{F25BC871-6700-4149-A613-3A46999FF7B7}" name="Column1" dataDxfId="2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28231E0-C30A-47A4-8ABD-41ECE9659469}" name="Table8" displayName="Table8" ref="H95:H101" totalsRowShown="0" headerRowDxfId="21" dataDxfId="19" headerRowBorderDxfId="20" tableBorderDxfId="18" totalsRowBorderDxfId="17">
  <autoFilter ref="H95:H101" xr:uid="{A28231E0-C30A-47A4-8ABD-41ECE9659469}"/>
  <tableColumns count="1">
    <tableColumn id="1" xr3:uid="{F4305185-48DA-4D5B-86A2-2D8260B0DA25}" name="Column1" dataDxfId="16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F423EA70-0307-4459-B2AF-178E8CF499C2}" name="Table10" displayName="Table10" ref="H109:H113" totalsRowShown="0" dataDxfId="15" headerRowCellStyle="Good">
  <autoFilter ref="H109:H113" xr:uid="{F423EA70-0307-4459-B2AF-178E8CF499C2}"/>
  <tableColumns count="1">
    <tableColumn id="1" xr3:uid="{0C5D24D2-939B-4601-A669-F4410305EEC3}" name="Column1" dataDxfId="14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284F3F8-2A34-4882-B0F2-71A69381A61C}" name="Table5" displayName="Table5" ref="B68:B79" totalsRowShown="0" headerRowDxfId="13" dataDxfId="12" tableBorderDxfId="11">
  <autoFilter ref="B68:B79" xr:uid="{B284F3F8-2A34-4882-B0F2-71A69381A61C}"/>
  <tableColumns count="1">
    <tableColumn id="1" xr3:uid="{D1B17377-1EC0-45E7-A705-2E6D029F6961}" name="Column1" dataDxfId="1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mailto:info@signcraft.ca" TargetMode="External"/><Relationship Id="rId2" Type="http://schemas.openxmlformats.org/officeDocument/2006/relationships/hyperlink" Target="mailto:info@signcraft.ca" TargetMode="External"/><Relationship Id="rId1" Type="http://schemas.openxmlformats.org/officeDocument/2006/relationships/hyperlink" Target="mailto:info@signcraft.ca" TargetMode="External"/><Relationship Id="rId6" Type="http://schemas.openxmlformats.org/officeDocument/2006/relationships/drawing" Target="../drawings/drawing1.xml"/><Relationship Id="rId5" Type="http://schemas.openxmlformats.org/officeDocument/2006/relationships/hyperlink" Target="mailto:info@signcraft.ca" TargetMode="External"/><Relationship Id="rId4" Type="http://schemas.openxmlformats.org/officeDocument/2006/relationships/hyperlink" Target="mailto:info@signcraft.ca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info@signcraft.ca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17" Type="http://schemas.openxmlformats.org/officeDocument/2006/relationships/ctrlProp" Target="../ctrlProps/ctrlProp15.xml"/><Relationship Id="rId2" Type="http://schemas.openxmlformats.org/officeDocument/2006/relationships/vmlDrawing" Target="../drawings/vmlDrawing1.vml"/><Relationship Id="rId16" Type="http://schemas.openxmlformats.org/officeDocument/2006/relationships/ctrlProp" Target="../ctrlProps/ctrlProp14.x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5" Type="http://schemas.openxmlformats.org/officeDocument/2006/relationships/ctrlProp" Target="../ctrlProps/ctrlProp1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4" Type="http://schemas.openxmlformats.org/officeDocument/2006/relationships/ctrlProp" Target="../ctrlProps/ctrlProp12.xml"/></Relationships>
</file>

<file path=xl/worksheets/_rels/sheet8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25.xml"/><Relationship Id="rId18" Type="http://schemas.openxmlformats.org/officeDocument/2006/relationships/ctrlProp" Target="../ctrlProps/ctrlProp30.xml"/><Relationship Id="rId26" Type="http://schemas.openxmlformats.org/officeDocument/2006/relationships/ctrlProp" Target="../ctrlProps/ctrlProp38.xml"/><Relationship Id="rId3" Type="http://schemas.openxmlformats.org/officeDocument/2006/relationships/vmlDrawing" Target="../drawings/vmlDrawing2.vml"/><Relationship Id="rId21" Type="http://schemas.openxmlformats.org/officeDocument/2006/relationships/ctrlProp" Target="../ctrlProps/ctrlProp33.xml"/><Relationship Id="rId34" Type="http://schemas.openxmlformats.org/officeDocument/2006/relationships/table" Target="../tables/table5.xml"/><Relationship Id="rId7" Type="http://schemas.openxmlformats.org/officeDocument/2006/relationships/ctrlProp" Target="../ctrlProps/ctrlProp19.xml"/><Relationship Id="rId12" Type="http://schemas.openxmlformats.org/officeDocument/2006/relationships/ctrlProp" Target="../ctrlProps/ctrlProp24.xml"/><Relationship Id="rId17" Type="http://schemas.openxmlformats.org/officeDocument/2006/relationships/ctrlProp" Target="../ctrlProps/ctrlProp29.xml"/><Relationship Id="rId25" Type="http://schemas.openxmlformats.org/officeDocument/2006/relationships/ctrlProp" Target="../ctrlProps/ctrlProp37.xml"/><Relationship Id="rId33" Type="http://schemas.openxmlformats.org/officeDocument/2006/relationships/table" Target="../tables/table4.xml"/><Relationship Id="rId2" Type="http://schemas.openxmlformats.org/officeDocument/2006/relationships/drawing" Target="../drawings/drawing5.xml"/><Relationship Id="rId16" Type="http://schemas.openxmlformats.org/officeDocument/2006/relationships/ctrlProp" Target="../ctrlProps/ctrlProp28.xml"/><Relationship Id="rId20" Type="http://schemas.openxmlformats.org/officeDocument/2006/relationships/ctrlProp" Target="../ctrlProps/ctrlProp32.xml"/><Relationship Id="rId29" Type="http://schemas.openxmlformats.org/officeDocument/2006/relationships/ctrlProp" Target="../ctrlProps/ctrlProp41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8.xml"/><Relationship Id="rId11" Type="http://schemas.openxmlformats.org/officeDocument/2006/relationships/ctrlProp" Target="../ctrlProps/ctrlProp23.xml"/><Relationship Id="rId24" Type="http://schemas.openxmlformats.org/officeDocument/2006/relationships/ctrlProp" Target="../ctrlProps/ctrlProp36.xml"/><Relationship Id="rId32" Type="http://schemas.openxmlformats.org/officeDocument/2006/relationships/table" Target="../tables/table3.xml"/><Relationship Id="rId5" Type="http://schemas.openxmlformats.org/officeDocument/2006/relationships/ctrlProp" Target="../ctrlProps/ctrlProp17.xml"/><Relationship Id="rId15" Type="http://schemas.openxmlformats.org/officeDocument/2006/relationships/ctrlProp" Target="../ctrlProps/ctrlProp27.xml"/><Relationship Id="rId23" Type="http://schemas.openxmlformats.org/officeDocument/2006/relationships/ctrlProp" Target="../ctrlProps/ctrlProp35.xml"/><Relationship Id="rId28" Type="http://schemas.openxmlformats.org/officeDocument/2006/relationships/ctrlProp" Target="../ctrlProps/ctrlProp40.xml"/><Relationship Id="rId36" Type="http://schemas.openxmlformats.org/officeDocument/2006/relationships/table" Target="../tables/table7.xml"/><Relationship Id="rId10" Type="http://schemas.openxmlformats.org/officeDocument/2006/relationships/ctrlProp" Target="../ctrlProps/ctrlProp22.xml"/><Relationship Id="rId19" Type="http://schemas.openxmlformats.org/officeDocument/2006/relationships/ctrlProp" Target="../ctrlProps/ctrlProp31.xml"/><Relationship Id="rId31" Type="http://schemas.openxmlformats.org/officeDocument/2006/relationships/table" Target="../tables/table2.xml"/><Relationship Id="rId4" Type="http://schemas.openxmlformats.org/officeDocument/2006/relationships/ctrlProp" Target="../ctrlProps/ctrlProp16.xml"/><Relationship Id="rId9" Type="http://schemas.openxmlformats.org/officeDocument/2006/relationships/ctrlProp" Target="../ctrlProps/ctrlProp21.xml"/><Relationship Id="rId14" Type="http://schemas.openxmlformats.org/officeDocument/2006/relationships/ctrlProp" Target="../ctrlProps/ctrlProp26.xml"/><Relationship Id="rId22" Type="http://schemas.openxmlformats.org/officeDocument/2006/relationships/ctrlProp" Target="../ctrlProps/ctrlProp34.xml"/><Relationship Id="rId27" Type="http://schemas.openxmlformats.org/officeDocument/2006/relationships/ctrlProp" Target="../ctrlProps/ctrlProp39.xml"/><Relationship Id="rId30" Type="http://schemas.openxmlformats.org/officeDocument/2006/relationships/table" Target="../tables/table1.xml"/><Relationship Id="rId35" Type="http://schemas.openxmlformats.org/officeDocument/2006/relationships/table" Target="../tables/table6.xml"/><Relationship Id="rId8" Type="http://schemas.openxmlformats.org/officeDocument/2006/relationships/ctrlProp" Target="../ctrlProps/ctrlProp20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6.xml"/><Relationship Id="rId13" Type="http://schemas.openxmlformats.org/officeDocument/2006/relationships/ctrlProp" Target="../ctrlProps/ctrlProp51.xml"/><Relationship Id="rId18" Type="http://schemas.openxmlformats.org/officeDocument/2006/relationships/ctrlProp" Target="../ctrlProps/ctrlProp56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45.xml"/><Relationship Id="rId12" Type="http://schemas.openxmlformats.org/officeDocument/2006/relationships/ctrlProp" Target="../ctrlProps/ctrlProp50.xml"/><Relationship Id="rId17" Type="http://schemas.openxmlformats.org/officeDocument/2006/relationships/ctrlProp" Target="../ctrlProps/ctrlProp55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54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44.xml"/><Relationship Id="rId11" Type="http://schemas.openxmlformats.org/officeDocument/2006/relationships/ctrlProp" Target="../ctrlProps/ctrlProp49.xml"/><Relationship Id="rId5" Type="http://schemas.openxmlformats.org/officeDocument/2006/relationships/ctrlProp" Target="../ctrlProps/ctrlProp43.xml"/><Relationship Id="rId15" Type="http://schemas.openxmlformats.org/officeDocument/2006/relationships/ctrlProp" Target="../ctrlProps/ctrlProp53.xml"/><Relationship Id="rId10" Type="http://schemas.openxmlformats.org/officeDocument/2006/relationships/ctrlProp" Target="../ctrlProps/ctrlProp48.xml"/><Relationship Id="rId4" Type="http://schemas.openxmlformats.org/officeDocument/2006/relationships/ctrlProp" Target="../ctrlProps/ctrlProp42.xml"/><Relationship Id="rId9" Type="http://schemas.openxmlformats.org/officeDocument/2006/relationships/ctrlProp" Target="../ctrlProps/ctrlProp47.xml"/><Relationship Id="rId14" Type="http://schemas.openxmlformats.org/officeDocument/2006/relationships/ctrlProp" Target="../ctrlProps/ctrlProp52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8.bin"/><Relationship Id="rId1" Type="http://schemas.openxmlformats.org/officeDocument/2006/relationships/hyperlink" Target="mailto:info@signcraft.ca" TargetMode="Externa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9.bin"/><Relationship Id="rId1" Type="http://schemas.openxmlformats.org/officeDocument/2006/relationships/hyperlink" Target="mailto:info@signcraft.ca" TargetMode="Externa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0.bin"/><Relationship Id="rId1" Type="http://schemas.openxmlformats.org/officeDocument/2006/relationships/hyperlink" Target="mailto:info@signcraft.ca" TargetMode="Externa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3.bin"/><Relationship Id="rId1" Type="http://schemas.openxmlformats.org/officeDocument/2006/relationships/hyperlink" Target="mailto:info@signcraft.ca" TargetMode="Externa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14.bin"/><Relationship Id="rId1" Type="http://schemas.openxmlformats.org/officeDocument/2006/relationships/hyperlink" Target="mailto:info@signcraft.ca" TargetMode="Externa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15.bin"/><Relationship Id="rId1" Type="http://schemas.openxmlformats.org/officeDocument/2006/relationships/hyperlink" Target="mailto:info@signcraft.ca" TargetMode="Externa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16.bin"/><Relationship Id="rId1" Type="http://schemas.openxmlformats.org/officeDocument/2006/relationships/hyperlink" Target="mailto:info@signcraft.ca" TargetMode="Externa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17.bin"/><Relationship Id="rId1" Type="http://schemas.openxmlformats.org/officeDocument/2006/relationships/hyperlink" Target="mailto:info@signcraft.ca" TargetMode="Externa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18.bin"/><Relationship Id="rId1" Type="http://schemas.openxmlformats.org/officeDocument/2006/relationships/hyperlink" Target="mailto:info@signcraft.ca" TargetMode="Externa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8.xml"/><Relationship Id="rId2" Type="http://schemas.openxmlformats.org/officeDocument/2006/relationships/printerSettings" Target="../printerSettings/printerSettings19.bin"/><Relationship Id="rId1" Type="http://schemas.openxmlformats.org/officeDocument/2006/relationships/hyperlink" Target="mailto:info@signcraft.ca" TargetMode="Externa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20.bin"/><Relationship Id="rId1" Type="http://schemas.openxmlformats.org/officeDocument/2006/relationships/hyperlink" Target="mailto:info@signcraft.ca" TargetMode="Externa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21.bin"/><Relationship Id="rId1" Type="http://schemas.openxmlformats.org/officeDocument/2006/relationships/hyperlink" Target="mailto:info@signcraft.ca" TargetMode="External"/></Relationships>
</file>

<file path=xl/worksheets/_rels/sheet2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2.xml"/><Relationship Id="rId3" Type="http://schemas.openxmlformats.org/officeDocument/2006/relationships/ctrlProp" Target="../ctrlProps/ctrlProp57.xml"/><Relationship Id="rId7" Type="http://schemas.openxmlformats.org/officeDocument/2006/relationships/ctrlProp" Target="../ctrlProps/ctrlProp6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21.xml"/><Relationship Id="rId6" Type="http://schemas.openxmlformats.org/officeDocument/2006/relationships/ctrlProp" Target="../ctrlProps/ctrlProp60.xml"/><Relationship Id="rId5" Type="http://schemas.openxmlformats.org/officeDocument/2006/relationships/ctrlProp" Target="../ctrlProps/ctrlProp59.xml"/><Relationship Id="rId4" Type="http://schemas.openxmlformats.org/officeDocument/2006/relationships/ctrlProp" Target="../ctrlProps/ctrlProp5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344EC-BA57-4AA4-99BA-784793C78230}">
  <sheetPr codeName="Sheet18"/>
  <dimension ref="A1:AM59"/>
  <sheetViews>
    <sheetView workbookViewId="0">
      <selection activeCell="I8" sqref="I8:N9"/>
    </sheetView>
  </sheetViews>
  <sheetFormatPr defaultRowHeight="15" x14ac:dyDescent="0.25"/>
  <sheetData>
    <row r="1" spans="1:39" x14ac:dyDescent="0.25">
      <c r="A1" s="422" t="s">
        <v>408</v>
      </c>
      <c r="I1" s="422" t="s">
        <v>407</v>
      </c>
      <c r="Q1" s="422" t="s">
        <v>406</v>
      </c>
      <c r="Y1" s="422" t="s">
        <v>405</v>
      </c>
      <c r="AG1" s="422" t="s">
        <v>404</v>
      </c>
    </row>
    <row r="2" spans="1:39" x14ac:dyDescent="0.25">
      <c r="A2" s="44"/>
      <c r="B2" s="44"/>
      <c r="C2" s="44"/>
      <c r="D2" s="44"/>
      <c r="E2" s="44"/>
      <c r="F2" s="44"/>
      <c r="G2" s="44"/>
      <c r="I2" s="387"/>
      <c r="J2" s="387"/>
      <c r="K2" s="387"/>
      <c r="L2" s="387"/>
      <c r="M2" s="387"/>
      <c r="N2" s="387"/>
      <c r="O2" s="387"/>
      <c r="Q2" s="387"/>
      <c r="R2" s="387"/>
      <c r="S2" s="387"/>
      <c r="T2" s="387"/>
      <c r="U2" s="387"/>
      <c r="V2" s="387"/>
      <c r="W2" s="387"/>
      <c r="Y2" s="387"/>
      <c r="Z2" s="387"/>
      <c r="AA2" s="387"/>
      <c r="AB2" s="387"/>
      <c r="AC2" s="387"/>
      <c r="AD2" s="387"/>
      <c r="AE2" s="387"/>
      <c r="AG2" s="387"/>
      <c r="AH2" s="387"/>
      <c r="AI2" s="387"/>
      <c r="AJ2" s="387"/>
      <c r="AK2" s="387"/>
      <c r="AL2" s="387"/>
      <c r="AM2" s="387"/>
    </row>
    <row r="3" spans="1:39" x14ac:dyDescent="0.25">
      <c r="A3" s="489"/>
      <c r="B3" s="490"/>
      <c r="C3" s="491"/>
      <c r="D3" s="491"/>
      <c r="E3" s="491"/>
      <c r="F3" s="491"/>
      <c r="G3" s="44"/>
      <c r="I3" s="545"/>
      <c r="J3" s="546"/>
      <c r="K3" s="547"/>
      <c r="L3" s="547"/>
      <c r="M3" s="547"/>
      <c r="N3" s="547"/>
      <c r="O3" s="387"/>
      <c r="Q3" s="545"/>
      <c r="R3" s="546"/>
      <c r="S3" s="547"/>
      <c r="T3" s="547"/>
      <c r="U3" s="547"/>
      <c r="V3" s="547"/>
      <c r="W3" s="387"/>
      <c r="Y3" s="545"/>
      <c r="Z3" s="546"/>
      <c r="AA3" s="547"/>
      <c r="AB3" s="547"/>
      <c r="AC3" s="547"/>
      <c r="AD3" s="547"/>
      <c r="AE3" s="387"/>
      <c r="AG3" s="545"/>
      <c r="AH3" s="546"/>
      <c r="AI3" s="547"/>
      <c r="AJ3" s="547"/>
      <c r="AK3" s="547"/>
      <c r="AL3" s="547"/>
      <c r="AM3" s="387"/>
    </row>
    <row r="4" spans="1:39" x14ac:dyDescent="0.25">
      <c r="A4" s="492" t="s">
        <v>106</v>
      </c>
      <c r="B4" s="492"/>
      <c r="C4" s="491"/>
      <c r="D4" s="491"/>
      <c r="E4" s="491"/>
      <c r="F4" s="491"/>
      <c r="G4" s="44"/>
      <c r="I4" s="548" t="s">
        <v>106</v>
      </c>
      <c r="J4" s="548"/>
      <c r="K4" s="547"/>
      <c r="L4" s="547"/>
      <c r="M4" s="547"/>
      <c r="N4" s="547"/>
      <c r="O4" s="387"/>
      <c r="Q4" s="548" t="s">
        <v>106</v>
      </c>
      <c r="R4" s="548"/>
      <c r="S4" s="547"/>
      <c r="T4" s="547"/>
      <c r="U4" s="547"/>
      <c r="V4" s="547"/>
      <c r="W4" s="387"/>
      <c r="Y4" s="548" t="s">
        <v>106</v>
      </c>
      <c r="Z4" s="548"/>
      <c r="AA4" s="547"/>
      <c r="AB4" s="547"/>
      <c r="AC4" s="547"/>
      <c r="AD4" s="547"/>
      <c r="AE4" s="387"/>
      <c r="AG4" s="548" t="s">
        <v>106</v>
      </c>
      <c r="AH4" s="548"/>
      <c r="AI4" s="547"/>
      <c r="AJ4" s="547"/>
      <c r="AK4" s="547"/>
      <c r="AL4" s="547"/>
      <c r="AM4" s="387"/>
    </row>
    <row r="5" spans="1:39" x14ac:dyDescent="0.25">
      <c r="A5" s="493" t="s">
        <v>107</v>
      </c>
      <c r="B5" s="493"/>
      <c r="C5" s="45"/>
      <c r="D5" s="46" t="s">
        <v>108</v>
      </c>
      <c r="E5" s="493" t="s">
        <v>109</v>
      </c>
      <c r="F5" s="493"/>
      <c r="G5" s="47"/>
      <c r="I5" s="536" t="s">
        <v>107</v>
      </c>
      <c r="J5" s="536"/>
      <c r="K5" s="421"/>
      <c r="L5" s="420" t="s">
        <v>108</v>
      </c>
      <c r="M5" s="536" t="s">
        <v>109</v>
      </c>
      <c r="N5" s="536"/>
      <c r="O5" s="379"/>
      <c r="Q5" s="536" t="s">
        <v>107</v>
      </c>
      <c r="R5" s="536"/>
      <c r="S5" s="421"/>
      <c r="T5" s="420" t="s">
        <v>108</v>
      </c>
      <c r="U5" s="536" t="s">
        <v>109</v>
      </c>
      <c r="V5" s="536"/>
      <c r="W5" s="379"/>
      <c r="Y5" s="536" t="s">
        <v>107</v>
      </c>
      <c r="Z5" s="536"/>
      <c r="AA5" s="421"/>
      <c r="AB5" s="420" t="s">
        <v>108</v>
      </c>
      <c r="AC5" s="536" t="s">
        <v>109</v>
      </c>
      <c r="AD5" s="536"/>
      <c r="AE5" s="379"/>
      <c r="AG5" s="536" t="s">
        <v>107</v>
      </c>
      <c r="AH5" s="536"/>
      <c r="AI5" s="421"/>
      <c r="AJ5" s="420" t="s">
        <v>108</v>
      </c>
      <c r="AK5" s="536" t="s">
        <v>109</v>
      </c>
      <c r="AL5" s="536"/>
      <c r="AM5" s="379"/>
    </row>
    <row r="6" spans="1:39" x14ac:dyDescent="0.25">
      <c r="A6" s="493" t="s">
        <v>110</v>
      </c>
      <c r="B6" s="493"/>
      <c r="C6" s="45"/>
      <c r="D6" s="46" t="s">
        <v>111</v>
      </c>
      <c r="E6" s="494">
        <f ca="1">TODAY()</f>
        <v>45198</v>
      </c>
      <c r="F6" s="494"/>
      <c r="G6" s="47"/>
      <c r="I6" s="536" t="s">
        <v>110</v>
      </c>
      <c r="J6" s="536"/>
      <c r="K6" s="421"/>
      <c r="L6" s="420" t="s">
        <v>111</v>
      </c>
      <c r="M6" s="553">
        <f ca="1">TODAY()</f>
        <v>45198</v>
      </c>
      <c r="N6" s="553"/>
      <c r="O6" s="379"/>
      <c r="Q6" s="536" t="s">
        <v>110</v>
      </c>
      <c r="R6" s="536"/>
      <c r="S6" s="421"/>
      <c r="T6" s="420" t="s">
        <v>111</v>
      </c>
      <c r="U6" s="553">
        <f ca="1">TODAY()</f>
        <v>45198</v>
      </c>
      <c r="V6" s="553"/>
      <c r="W6" s="379"/>
      <c r="Y6" s="536" t="s">
        <v>110</v>
      </c>
      <c r="Z6" s="536"/>
      <c r="AA6" s="421"/>
      <c r="AB6" s="420" t="s">
        <v>111</v>
      </c>
      <c r="AC6" s="553">
        <f ca="1">TODAY()</f>
        <v>45198</v>
      </c>
      <c r="AD6" s="553"/>
      <c r="AE6" s="379"/>
      <c r="AG6" s="536" t="s">
        <v>110</v>
      </c>
      <c r="AH6" s="536"/>
      <c r="AI6" s="421"/>
      <c r="AJ6" s="420" t="s">
        <v>111</v>
      </c>
      <c r="AK6" s="553">
        <f ca="1">TODAY()</f>
        <v>45198</v>
      </c>
      <c r="AL6" s="553"/>
      <c r="AM6" s="379"/>
    </row>
    <row r="7" spans="1:39" x14ac:dyDescent="0.25">
      <c r="A7" s="493" t="s">
        <v>112</v>
      </c>
      <c r="B7" s="493"/>
      <c r="C7" s="495" t="s">
        <v>113</v>
      </c>
      <c r="D7" s="495"/>
      <c r="E7" s="493" t="s">
        <v>114</v>
      </c>
      <c r="F7" s="493"/>
      <c r="G7" s="47"/>
      <c r="I7" s="536" t="s">
        <v>112</v>
      </c>
      <c r="J7" s="536"/>
      <c r="K7" s="554" t="s">
        <v>113</v>
      </c>
      <c r="L7" s="554"/>
      <c r="M7" s="536" t="s">
        <v>114</v>
      </c>
      <c r="N7" s="536"/>
      <c r="O7" s="379"/>
      <c r="Q7" s="536" t="s">
        <v>112</v>
      </c>
      <c r="R7" s="536"/>
      <c r="S7" s="554" t="s">
        <v>113</v>
      </c>
      <c r="T7" s="554"/>
      <c r="U7" s="536" t="s">
        <v>114</v>
      </c>
      <c r="V7" s="536"/>
      <c r="W7" s="379"/>
      <c r="Y7" s="536" t="s">
        <v>112</v>
      </c>
      <c r="Z7" s="536"/>
      <c r="AA7" s="554" t="s">
        <v>113</v>
      </c>
      <c r="AB7" s="554"/>
      <c r="AC7" s="536" t="s">
        <v>114</v>
      </c>
      <c r="AD7" s="536"/>
      <c r="AE7" s="379"/>
      <c r="AG7" s="536" t="s">
        <v>112</v>
      </c>
      <c r="AH7" s="536"/>
      <c r="AI7" s="554" t="s">
        <v>113</v>
      </c>
      <c r="AJ7" s="554"/>
      <c r="AK7" s="536" t="s">
        <v>114</v>
      </c>
      <c r="AL7" s="536"/>
      <c r="AM7" s="379"/>
    </row>
    <row r="8" spans="1:39" x14ac:dyDescent="0.25">
      <c r="A8" s="496" t="s">
        <v>115</v>
      </c>
      <c r="B8" s="493"/>
      <c r="C8" s="497" t="s">
        <v>116</v>
      </c>
      <c r="D8" s="497"/>
      <c r="E8" s="48">
        <f ca="1">TODAY()+30</f>
        <v>45228</v>
      </c>
      <c r="F8" s="49"/>
      <c r="G8" s="47"/>
      <c r="I8" s="496" t="s">
        <v>115</v>
      </c>
      <c r="J8" s="536"/>
      <c r="K8" s="555" t="s">
        <v>116</v>
      </c>
      <c r="L8" s="555"/>
      <c r="M8" s="419">
        <f ca="1">TODAY()+30</f>
        <v>45228</v>
      </c>
      <c r="N8" s="418"/>
      <c r="O8" s="379"/>
      <c r="Q8" s="496" t="s">
        <v>115</v>
      </c>
      <c r="R8" s="536"/>
      <c r="S8" s="555" t="s">
        <v>116</v>
      </c>
      <c r="T8" s="555"/>
      <c r="U8" s="419">
        <f ca="1">TODAY()+30</f>
        <v>45228</v>
      </c>
      <c r="V8" s="418"/>
      <c r="W8" s="379"/>
      <c r="Y8" s="496" t="s">
        <v>115</v>
      </c>
      <c r="Z8" s="536"/>
      <c r="AA8" s="555" t="s">
        <v>116</v>
      </c>
      <c r="AB8" s="555"/>
      <c r="AC8" s="419">
        <f ca="1">TODAY()+30</f>
        <v>45228</v>
      </c>
      <c r="AD8" s="418"/>
      <c r="AE8" s="379"/>
      <c r="AG8" s="496" t="s">
        <v>115</v>
      </c>
      <c r="AH8" s="536"/>
      <c r="AI8" s="555" t="s">
        <v>116</v>
      </c>
      <c r="AJ8" s="555"/>
      <c r="AK8" s="419">
        <f ca="1">TODAY()+30</f>
        <v>45228</v>
      </c>
      <c r="AL8" s="418"/>
      <c r="AM8" s="379"/>
    </row>
    <row r="9" spans="1:39" x14ac:dyDescent="0.25">
      <c r="A9" s="498"/>
      <c r="B9" s="498"/>
      <c r="C9" s="498"/>
      <c r="D9" s="498"/>
      <c r="E9" s="498"/>
      <c r="F9" s="498"/>
      <c r="G9" s="47"/>
      <c r="I9" s="556"/>
      <c r="J9" s="556"/>
      <c r="K9" s="556"/>
      <c r="L9" s="556"/>
      <c r="M9" s="556"/>
      <c r="N9" s="556"/>
      <c r="O9" s="379"/>
      <c r="Q9" s="556"/>
      <c r="R9" s="556"/>
      <c r="S9" s="556"/>
      <c r="T9" s="556"/>
      <c r="U9" s="556"/>
      <c r="V9" s="556"/>
      <c r="W9" s="379"/>
      <c r="Y9" s="556"/>
      <c r="Z9" s="556"/>
      <c r="AA9" s="556"/>
      <c r="AB9" s="556"/>
      <c r="AC9" s="556"/>
      <c r="AD9" s="556"/>
      <c r="AE9" s="379"/>
      <c r="AG9" s="556"/>
      <c r="AH9" s="556"/>
      <c r="AI9" s="556"/>
      <c r="AJ9" s="556"/>
      <c r="AK9" s="556"/>
      <c r="AL9" s="556"/>
      <c r="AM9" s="379"/>
    </row>
    <row r="10" spans="1:39" x14ac:dyDescent="0.25">
      <c r="A10" s="50" t="s">
        <v>87</v>
      </c>
      <c r="B10" s="499" t="s">
        <v>23</v>
      </c>
      <c r="C10" s="500"/>
      <c r="D10" s="51"/>
      <c r="E10" s="501"/>
      <c r="F10" s="501"/>
      <c r="G10" s="47"/>
      <c r="I10" s="417" t="s">
        <v>87</v>
      </c>
      <c r="J10" s="557" t="s">
        <v>23</v>
      </c>
      <c r="K10" s="558"/>
      <c r="L10" s="416"/>
      <c r="M10" s="525"/>
      <c r="N10" s="525"/>
      <c r="O10" s="379"/>
      <c r="Q10" s="417" t="s">
        <v>87</v>
      </c>
      <c r="R10" s="562" t="s">
        <v>23</v>
      </c>
      <c r="S10" s="524"/>
      <c r="T10" s="416"/>
      <c r="U10" s="525"/>
      <c r="V10" s="525"/>
      <c r="W10" s="379"/>
      <c r="Y10" s="417" t="s">
        <v>87</v>
      </c>
      <c r="Z10" s="562" t="s">
        <v>23</v>
      </c>
      <c r="AA10" s="524"/>
      <c r="AB10" s="416"/>
      <c r="AC10" s="525"/>
      <c r="AD10" s="525"/>
      <c r="AE10" s="379"/>
      <c r="AG10" s="417" t="s">
        <v>87</v>
      </c>
      <c r="AH10" s="562" t="s">
        <v>23</v>
      </c>
      <c r="AI10" s="524"/>
      <c r="AJ10" s="416"/>
      <c r="AK10" s="525"/>
      <c r="AL10" s="525"/>
      <c r="AM10" s="379"/>
    </row>
    <row r="11" spans="1:39" x14ac:dyDescent="0.25">
      <c r="A11" s="52"/>
      <c r="B11" s="502"/>
      <c r="C11" s="502"/>
      <c r="D11" s="53"/>
      <c r="E11" s="501"/>
      <c r="F11" s="501"/>
      <c r="G11" s="47"/>
      <c r="I11" s="415"/>
      <c r="J11" s="526"/>
      <c r="K11" s="526"/>
      <c r="L11" s="414"/>
      <c r="M11" s="525"/>
      <c r="N11" s="525"/>
      <c r="O11" s="379"/>
      <c r="Q11" s="415"/>
      <c r="R11" s="526"/>
      <c r="S11" s="526"/>
      <c r="T11" s="414"/>
      <c r="U11" s="525"/>
      <c r="V11" s="525"/>
      <c r="W11" s="379"/>
      <c r="Y11" s="415"/>
      <c r="Z11" s="526"/>
      <c r="AA11" s="526"/>
      <c r="AB11" s="414"/>
      <c r="AC11" s="525"/>
      <c r="AD11" s="525"/>
      <c r="AE11" s="379"/>
      <c r="AG11" s="415"/>
      <c r="AH11" s="526"/>
      <c r="AI11" s="526"/>
      <c r="AJ11" s="414"/>
      <c r="AK11" s="525"/>
      <c r="AL11" s="525"/>
      <c r="AM11" s="379"/>
    </row>
    <row r="12" spans="1:39" x14ac:dyDescent="0.25">
      <c r="A12" s="53"/>
      <c r="B12" s="500" t="s">
        <v>180</v>
      </c>
      <c r="C12" s="500"/>
      <c r="D12" s="53"/>
      <c r="E12" s="501"/>
      <c r="F12" s="501"/>
      <c r="G12" s="47"/>
      <c r="I12" s="414"/>
      <c r="J12" s="524" t="s">
        <v>180</v>
      </c>
      <c r="K12" s="524"/>
      <c r="L12" s="414"/>
      <c r="M12" s="525"/>
      <c r="N12" s="525"/>
      <c r="O12" s="379"/>
      <c r="Q12" s="414"/>
      <c r="R12" s="524" t="s">
        <v>180</v>
      </c>
      <c r="S12" s="524"/>
      <c r="T12" s="414"/>
      <c r="U12" s="525"/>
      <c r="V12" s="525"/>
      <c r="W12" s="379"/>
      <c r="Y12" s="414"/>
      <c r="Z12" s="565" t="s">
        <v>117</v>
      </c>
      <c r="AA12" s="565"/>
      <c r="AB12" s="414"/>
      <c r="AC12" s="525"/>
      <c r="AD12" s="525"/>
      <c r="AE12" s="379"/>
      <c r="AG12" s="414"/>
      <c r="AH12" s="524" t="s">
        <v>180</v>
      </c>
      <c r="AI12" s="524"/>
      <c r="AJ12" s="414"/>
      <c r="AK12" s="525"/>
      <c r="AL12" s="525"/>
      <c r="AM12" s="379"/>
    </row>
    <row r="13" spans="1:39" x14ac:dyDescent="0.25">
      <c r="A13" s="53"/>
      <c r="B13" s="500" t="s">
        <v>118</v>
      </c>
      <c r="C13" s="500"/>
      <c r="D13" s="53"/>
      <c r="E13" s="501"/>
      <c r="F13" s="501"/>
      <c r="G13" s="47"/>
      <c r="I13" s="414"/>
      <c r="J13" s="524" t="s">
        <v>118</v>
      </c>
      <c r="K13" s="524"/>
      <c r="L13" s="414"/>
      <c r="M13" s="525"/>
      <c r="N13" s="525"/>
      <c r="O13" s="379"/>
      <c r="Q13" s="414"/>
      <c r="R13" s="524" t="s">
        <v>118</v>
      </c>
      <c r="S13" s="524"/>
      <c r="T13" s="414"/>
      <c r="U13" s="525"/>
      <c r="V13" s="525"/>
      <c r="W13" s="379"/>
      <c r="Y13" s="414"/>
      <c r="Z13" s="524" t="s">
        <v>118</v>
      </c>
      <c r="AA13" s="524"/>
      <c r="AB13" s="414"/>
      <c r="AC13" s="525"/>
      <c r="AD13" s="525"/>
      <c r="AE13" s="379"/>
      <c r="AG13" s="414"/>
      <c r="AH13" s="524" t="s">
        <v>118</v>
      </c>
      <c r="AI13" s="524"/>
      <c r="AJ13" s="414"/>
      <c r="AK13" s="525"/>
      <c r="AL13" s="525"/>
      <c r="AM13" s="379"/>
    </row>
    <row r="14" spans="1:39" x14ac:dyDescent="0.25">
      <c r="A14" s="53"/>
      <c r="B14" s="500" t="s">
        <v>119</v>
      </c>
      <c r="C14" s="500"/>
      <c r="D14" s="53"/>
      <c r="E14" s="501"/>
      <c r="F14" s="501"/>
      <c r="G14" s="47"/>
      <c r="I14" s="414"/>
      <c r="J14" s="524" t="s">
        <v>119</v>
      </c>
      <c r="K14" s="524"/>
      <c r="L14" s="414"/>
      <c r="M14" s="525"/>
      <c r="N14" s="525"/>
      <c r="O14" s="379"/>
      <c r="Q14" s="414"/>
      <c r="R14" s="524" t="s">
        <v>119</v>
      </c>
      <c r="S14" s="524"/>
      <c r="T14" s="414"/>
      <c r="U14" s="525"/>
      <c r="V14" s="525"/>
      <c r="W14" s="379"/>
      <c r="Y14" s="414"/>
      <c r="Z14" s="524" t="s">
        <v>119</v>
      </c>
      <c r="AA14" s="524"/>
      <c r="AB14" s="414"/>
      <c r="AC14" s="525"/>
      <c r="AD14" s="525"/>
      <c r="AE14" s="379"/>
      <c r="AG14" s="414"/>
      <c r="AH14" s="524" t="s">
        <v>119</v>
      </c>
      <c r="AI14" s="524"/>
      <c r="AJ14" s="414"/>
      <c r="AK14" s="525"/>
      <c r="AL14" s="525"/>
      <c r="AM14" s="379"/>
    </row>
    <row r="15" spans="1:39" ht="15.75" thickBot="1" x14ac:dyDescent="0.3">
      <c r="A15" s="503" t="s">
        <v>182</v>
      </c>
      <c r="B15" s="504"/>
      <c r="C15" s="504"/>
      <c r="D15" s="504"/>
      <c r="E15" s="504"/>
      <c r="F15" s="504"/>
      <c r="G15" s="47"/>
      <c r="I15" s="540" t="s">
        <v>367</v>
      </c>
      <c r="J15" s="541"/>
      <c r="K15" s="541"/>
      <c r="L15" s="541"/>
      <c r="M15" s="541"/>
      <c r="N15" s="541"/>
      <c r="O15" s="379"/>
      <c r="Q15" s="540" t="s">
        <v>361</v>
      </c>
      <c r="R15" s="541"/>
      <c r="S15" s="541"/>
      <c r="T15" s="541"/>
      <c r="U15" s="541"/>
      <c r="V15" s="541"/>
      <c r="W15" s="379"/>
      <c r="Y15" s="540" t="s">
        <v>120</v>
      </c>
      <c r="Z15" s="541"/>
      <c r="AA15" s="541"/>
      <c r="AB15" s="541"/>
      <c r="AC15" s="541"/>
      <c r="AD15" s="541"/>
      <c r="AE15" s="379"/>
      <c r="AG15" s="540" t="s">
        <v>181</v>
      </c>
      <c r="AH15" s="541"/>
      <c r="AI15" s="541"/>
      <c r="AJ15" s="541"/>
      <c r="AK15" s="541"/>
      <c r="AL15" s="541"/>
      <c r="AM15" s="379"/>
    </row>
    <row r="16" spans="1:39" ht="22.5" x14ac:dyDescent="0.25">
      <c r="A16" s="54" t="s">
        <v>121</v>
      </c>
      <c r="B16" s="54" t="s">
        <v>122</v>
      </c>
      <c r="C16" s="55" t="s">
        <v>123</v>
      </c>
      <c r="D16" s="55" t="s">
        <v>124</v>
      </c>
      <c r="E16" s="55" t="s">
        <v>125</v>
      </c>
      <c r="F16" s="55" t="s">
        <v>126</v>
      </c>
      <c r="G16" s="54" t="s">
        <v>127</v>
      </c>
      <c r="I16" s="409" t="s">
        <v>121</v>
      </c>
      <c r="J16" s="409" t="s">
        <v>122</v>
      </c>
      <c r="K16" s="413" t="s">
        <v>123</v>
      </c>
      <c r="L16" s="413" t="s">
        <v>124</v>
      </c>
      <c r="M16" s="413" t="s">
        <v>125</v>
      </c>
      <c r="N16" s="413" t="s">
        <v>126</v>
      </c>
      <c r="O16" s="409" t="s">
        <v>127</v>
      </c>
      <c r="Q16" s="409" t="s">
        <v>121</v>
      </c>
      <c r="R16" s="409" t="s">
        <v>122</v>
      </c>
      <c r="S16" s="413" t="s">
        <v>123</v>
      </c>
      <c r="T16" s="413" t="s">
        <v>124</v>
      </c>
      <c r="U16" s="413" t="s">
        <v>125</v>
      </c>
      <c r="V16" s="413" t="s">
        <v>126</v>
      </c>
      <c r="W16" s="409" t="s">
        <v>127</v>
      </c>
      <c r="Y16" s="409" t="s">
        <v>121</v>
      </c>
      <c r="Z16" s="409" t="s">
        <v>122</v>
      </c>
      <c r="AA16" s="413" t="s">
        <v>123</v>
      </c>
      <c r="AB16" s="413" t="s">
        <v>124</v>
      </c>
      <c r="AC16" s="413" t="s">
        <v>125</v>
      </c>
      <c r="AD16" s="413" t="s">
        <v>126</v>
      </c>
      <c r="AE16" s="409" t="s">
        <v>127</v>
      </c>
      <c r="AG16" s="409" t="s">
        <v>121</v>
      </c>
      <c r="AH16" s="409" t="s">
        <v>122</v>
      </c>
      <c r="AI16" s="413" t="s">
        <v>123</v>
      </c>
      <c r="AJ16" s="413" t="s">
        <v>124</v>
      </c>
      <c r="AK16" s="413" t="s">
        <v>125</v>
      </c>
      <c r="AL16" s="413" t="s">
        <v>126</v>
      </c>
      <c r="AM16" s="409" t="s">
        <v>127</v>
      </c>
    </row>
    <row r="17" spans="1:39" x14ac:dyDescent="0.25">
      <c r="A17" s="56"/>
      <c r="B17" s="56"/>
      <c r="C17" s="57"/>
      <c r="D17" s="57"/>
      <c r="E17" s="58"/>
      <c r="F17" s="57" t="s">
        <v>128</v>
      </c>
      <c r="G17" s="58"/>
      <c r="I17" s="397" t="s">
        <v>366</v>
      </c>
      <c r="J17" s="397" t="s">
        <v>365</v>
      </c>
      <c r="K17" s="412"/>
      <c r="L17" s="412"/>
      <c r="M17" s="411"/>
      <c r="N17" s="412" t="s">
        <v>128</v>
      </c>
      <c r="O17" s="411"/>
      <c r="Q17" s="397"/>
      <c r="R17" s="397"/>
      <c r="S17" s="412"/>
      <c r="T17" s="412"/>
      <c r="U17" s="411"/>
      <c r="V17" s="412" t="s">
        <v>128</v>
      </c>
      <c r="W17" s="411"/>
      <c r="Y17" s="397"/>
      <c r="Z17" s="397"/>
      <c r="AA17" s="412"/>
      <c r="AB17" s="412"/>
      <c r="AC17" s="411"/>
      <c r="AD17" s="412" t="s">
        <v>128</v>
      </c>
      <c r="AE17" s="411"/>
      <c r="AG17" s="397"/>
      <c r="AH17" s="397"/>
      <c r="AI17" s="412"/>
      <c r="AJ17" s="412"/>
      <c r="AK17" s="411"/>
      <c r="AL17" s="412" t="s">
        <v>128</v>
      </c>
      <c r="AM17" s="411"/>
    </row>
    <row r="18" spans="1:39" ht="15.75" thickBot="1" x14ac:dyDescent="0.3">
      <c r="A18" s="505"/>
      <c r="B18" s="505"/>
      <c r="C18" s="505"/>
      <c r="D18" s="505"/>
      <c r="E18" s="505"/>
      <c r="F18" s="505"/>
      <c r="G18" s="505"/>
      <c r="I18" s="537"/>
      <c r="J18" s="537"/>
      <c r="K18" s="537"/>
      <c r="L18" s="537"/>
      <c r="M18" s="537"/>
      <c r="N18" s="537"/>
      <c r="O18" s="537"/>
      <c r="Q18" s="537"/>
      <c r="R18" s="537"/>
      <c r="S18" s="537"/>
      <c r="T18" s="537"/>
      <c r="U18" s="537"/>
      <c r="V18" s="537"/>
      <c r="W18" s="537"/>
      <c r="Y18" s="537"/>
      <c r="Z18" s="537"/>
      <c r="AA18" s="537"/>
      <c r="AB18" s="537"/>
      <c r="AC18" s="537"/>
      <c r="AD18" s="537"/>
      <c r="AE18" s="537"/>
      <c r="AG18" s="537"/>
      <c r="AH18" s="537"/>
      <c r="AI18" s="537"/>
      <c r="AJ18" s="537"/>
      <c r="AK18" s="537"/>
      <c r="AL18" s="537"/>
      <c r="AM18" s="537"/>
    </row>
    <row r="19" spans="1:39" x14ac:dyDescent="0.25">
      <c r="A19" s="59" t="s">
        <v>96</v>
      </c>
      <c r="B19" s="59" t="s">
        <v>129</v>
      </c>
      <c r="C19" s="506" t="s">
        <v>130</v>
      </c>
      <c r="D19" s="507"/>
      <c r="E19" s="54" t="s">
        <v>131</v>
      </c>
      <c r="F19" s="54" t="s">
        <v>183</v>
      </c>
      <c r="G19" s="54" t="s">
        <v>133</v>
      </c>
      <c r="I19" s="410" t="s">
        <v>96</v>
      </c>
      <c r="J19" s="410" t="s">
        <v>129</v>
      </c>
      <c r="K19" s="538" t="s">
        <v>130</v>
      </c>
      <c r="L19" s="539"/>
      <c r="M19" s="409" t="s">
        <v>131</v>
      </c>
      <c r="N19" s="409" t="s">
        <v>183</v>
      </c>
      <c r="O19" s="409" t="s">
        <v>133</v>
      </c>
      <c r="Q19" s="410" t="s">
        <v>96</v>
      </c>
      <c r="R19" s="410" t="s">
        <v>129</v>
      </c>
      <c r="S19" s="563" t="s">
        <v>130</v>
      </c>
      <c r="T19" s="564"/>
      <c r="U19" s="409" t="s">
        <v>131</v>
      </c>
      <c r="V19" s="409" t="s">
        <v>132</v>
      </c>
      <c r="W19" s="409" t="s">
        <v>133</v>
      </c>
      <c r="Y19" s="410" t="s">
        <v>96</v>
      </c>
      <c r="Z19" s="410" t="s">
        <v>129</v>
      </c>
      <c r="AA19" s="563" t="s">
        <v>130</v>
      </c>
      <c r="AB19" s="564"/>
      <c r="AC19" s="409" t="s">
        <v>131</v>
      </c>
      <c r="AD19" s="409" t="s">
        <v>132</v>
      </c>
      <c r="AE19" s="409" t="s">
        <v>133</v>
      </c>
      <c r="AG19" s="410" t="s">
        <v>96</v>
      </c>
      <c r="AH19" s="410" t="s">
        <v>129</v>
      </c>
      <c r="AI19" s="563" t="s">
        <v>130</v>
      </c>
      <c r="AJ19" s="564"/>
      <c r="AK19" s="409" t="s">
        <v>131</v>
      </c>
      <c r="AL19" s="409" t="s">
        <v>132</v>
      </c>
      <c r="AM19" s="409" t="s">
        <v>133</v>
      </c>
    </row>
    <row r="20" spans="1:39" x14ac:dyDescent="0.25">
      <c r="A20" s="60"/>
      <c r="B20" s="61" t="s">
        <v>134</v>
      </c>
      <c r="C20" s="508" t="s">
        <v>135</v>
      </c>
      <c r="D20" s="509"/>
      <c r="E20" s="62">
        <v>10</v>
      </c>
      <c r="F20" s="62"/>
      <c r="G20" s="62" t="str">
        <f t="shared" ref="G20:G34" si="0">IF(SUM(A20)&gt;0,SUM((A20*E20)-F20),"")</f>
        <v/>
      </c>
      <c r="I20" s="394"/>
      <c r="J20" s="392" t="s">
        <v>134</v>
      </c>
      <c r="K20" s="527" t="s">
        <v>135</v>
      </c>
      <c r="L20" s="528"/>
      <c r="M20" s="381">
        <v>15</v>
      </c>
      <c r="N20" s="381"/>
      <c r="O20" s="381" t="str">
        <f t="shared" ref="O20:O34" si="1">IF(SUM(I20)&gt;0,SUM((I20*M20)-N20),"")</f>
        <v/>
      </c>
      <c r="Q20" s="394"/>
      <c r="R20" s="392" t="s">
        <v>134</v>
      </c>
      <c r="S20" s="527" t="s">
        <v>135</v>
      </c>
      <c r="T20" s="528"/>
      <c r="U20" s="381">
        <v>8.5</v>
      </c>
      <c r="V20" s="389"/>
      <c r="W20" s="388" t="str">
        <f t="shared" ref="W20:W38" si="2">IF(SUM(Q20)&gt;0,SUM((Q20*U20)-V20),"")</f>
        <v/>
      </c>
      <c r="Y20" s="394"/>
      <c r="Z20" s="392" t="s">
        <v>134</v>
      </c>
      <c r="AA20" s="527" t="s">
        <v>135</v>
      </c>
      <c r="AB20" s="528"/>
      <c r="AC20" s="381">
        <v>7</v>
      </c>
      <c r="AD20" s="389"/>
      <c r="AE20" s="388" t="str">
        <f t="shared" ref="AE20:AE38" si="3">IF(SUM(Y20)&gt;0,SUM((Y20*AC20)-AD20),"")</f>
        <v/>
      </c>
      <c r="AG20" s="394"/>
      <c r="AH20" s="392" t="s">
        <v>134</v>
      </c>
      <c r="AI20" s="527" t="s">
        <v>135</v>
      </c>
      <c r="AJ20" s="528"/>
      <c r="AK20" s="381">
        <v>8.5</v>
      </c>
      <c r="AL20" s="389"/>
      <c r="AM20" s="388" t="str">
        <f t="shared" ref="AM20:AM38" si="4">IF(SUM(AG20)&gt;0,SUM((AG20*AK20)-AL20),"")</f>
        <v/>
      </c>
    </row>
    <row r="21" spans="1:39" x14ac:dyDescent="0.25">
      <c r="A21" s="60"/>
      <c r="B21" s="61" t="s">
        <v>134</v>
      </c>
      <c r="C21" s="508" t="s">
        <v>136</v>
      </c>
      <c r="D21" s="509"/>
      <c r="E21" s="62">
        <v>13</v>
      </c>
      <c r="F21" s="62"/>
      <c r="G21" s="62" t="str">
        <f t="shared" si="0"/>
        <v/>
      </c>
      <c r="I21" s="394"/>
      <c r="J21" s="392" t="s">
        <v>134</v>
      </c>
      <c r="K21" s="527" t="s">
        <v>136</v>
      </c>
      <c r="L21" s="528"/>
      <c r="M21" s="381">
        <v>18</v>
      </c>
      <c r="N21" s="381"/>
      <c r="O21" s="381" t="str">
        <f t="shared" si="1"/>
        <v/>
      </c>
      <c r="Q21" s="394"/>
      <c r="R21" s="392" t="s">
        <v>134</v>
      </c>
      <c r="S21" s="527" t="s">
        <v>136</v>
      </c>
      <c r="T21" s="528"/>
      <c r="U21" s="381">
        <v>9.5</v>
      </c>
      <c r="V21" s="389"/>
      <c r="W21" s="388" t="str">
        <f t="shared" si="2"/>
        <v/>
      </c>
      <c r="Y21" s="394"/>
      <c r="Z21" s="392" t="s">
        <v>134</v>
      </c>
      <c r="AA21" s="527" t="s">
        <v>136</v>
      </c>
      <c r="AB21" s="528"/>
      <c r="AC21" s="381">
        <v>7.5</v>
      </c>
      <c r="AD21" s="389"/>
      <c r="AE21" s="388" t="str">
        <f t="shared" si="3"/>
        <v/>
      </c>
      <c r="AG21" s="394"/>
      <c r="AH21" s="392" t="s">
        <v>134</v>
      </c>
      <c r="AI21" s="527" t="s">
        <v>136</v>
      </c>
      <c r="AJ21" s="528"/>
      <c r="AK21" s="381">
        <v>9.5</v>
      </c>
      <c r="AL21" s="389"/>
      <c r="AM21" s="388" t="str">
        <f t="shared" si="4"/>
        <v/>
      </c>
    </row>
    <row r="22" spans="1:39" x14ac:dyDescent="0.25">
      <c r="A22" s="60"/>
      <c r="B22" s="61" t="s">
        <v>134</v>
      </c>
      <c r="C22" s="508" t="s">
        <v>137</v>
      </c>
      <c r="D22" s="509"/>
      <c r="E22" s="62">
        <v>22.5</v>
      </c>
      <c r="F22" s="62"/>
      <c r="G22" s="62" t="str">
        <f t="shared" si="0"/>
        <v/>
      </c>
      <c r="I22" s="394"/>
      <c r="J22" s="392" t="s">
        <v>134</v>
      </c>
      <c r="K22" s="527" t="s">
        <v>137</v>
      </c>
      <c r="L22" s="528"/>
      <c r="M22" s="381">
        <v>26.5</v>
      </c>
      <c r="N22" s="381"/>
      <c r="O22" s="381" t="str">
        <f t="shared" si="1"/>
        <v/>
      </c>
      <c r="Q22" s="394"/>
      <c r="R22" s="392" t="s">
        <v>134</v>
      </c>
      <c r="S22" s="527" t="s">
        <v>137</v>
      </c>
      <c r="T22" s="528"/>
      <c r="U22" s="381">
        <v>11</v>
      </c>
      <c r="V22" s="389"/>
      <c r="W22" s="388" t="str">
        <f t="shared" si="2"/>
        <v/>
      </c>
      <c r="Y22" s="394"/>
      <c r="Z22" s="392" t="s">
        <v>134</v>
      </c>
      <c r="AA22" s="527" t="s">
        <v>137</v>
      </c>
      <c r="AB22" s="528"/>
      <c r="AC22" s="381">
        <v>9</v>
      </c>
      <c r="AD22" s="389"/>
      <c r="AE22" s="388" t="str">
        <f t="shared" si="3"/>
        <v/>
      </c>
      <c r="AG22" s="394"/>
      <c r="AH22" s="392" t="s">
        <v>134</v>
      </c>
      <c r="AI22" s="527" t="s">
        <v>137</v>
      </c>
      <c r="AJ22" s="528"/>
      <c r="AK22" s="381">
        <v>11</v>
      </c>
      <c r="AL22" s="389"/>
      <c r="AM22" s="388" t="str">
        <f t="shared" si="4"/>
        <v/>
      </c>
    </row>
    <row r="23" spans="1:39" x14ac:dyDescent="0.25">
      <c r="A23" s="60"/>
      <c r="B23" s="61" t="s">
        <v>134</v>
      </c>
      <c r="C23" s="508" t="s">
        <v>138</v>
      </c>
      <c r="D23" s="509"/>
      <c r="E23" s="62">
        <v>24.5</v>
      </c>
      <c r="F23" s="62"/>
      <c r="G23" s="62" t="str">
        <f t="shared" si="0"/>
        <v/>
      </c>
      <c r="I23" s="394"/>
      <c r="J23" s="392" t="s">
        <v>134</v>
      </c>
      <c r="K23" s="527" t="s">
        <v>138</v>
      </c>
      <c r="L23" s="528"/>
      <c r="M23" s="381">
        <v>31</v>
      </c>
      <c r="N23" s="381"/>
      <c r="O23" s="381" t="str">
        <f t="shared" si="1"/>
        <v/>
      </c>
      <c r="Q23" s="394"/>
      <c r="R23" s="392" t="s">
        <v>134</v>
      </c>
      <c r="S23" s="527" t="s">
        <v>138</v>
      </c>
      <c r="T23" s="528"/>
      <c r="U23" s="381">
        <v>12.65</v>
      </c>
      <c r="V23" s="389"/>
      <c r="W23" s="388" t="str">
        <f t="shared" si="2"/>
        <v/>
      </c>
      <c r="Y23" s="394"/>
      <c r="Z23" s="392" t="s">
        <v>134</v>
      </c>
      <c r="AA23" s="527" t="s">
        <v>138</v>
      </c>
      <c r="AB23" s="528"/>
      <c r="AC23" s="381">
        <v>10</v>
      </c>
      <c r="AD23" s="389"/>
      <c r="AE23" s="388" t="str">
        <f t="shared" si="3"/>
        <v/>
      </c>
      <c r="AG23" s="394"/>
      <c r="AH23" s="392" t="s">
        <v>134</v>
      </c>
      <c r="AI23" s="527" t="s">
        <v>138</v>
      </c>
      <c r="AJ23" s="528"/>
      <c r="AK23" s="381">
        <v>12.65</v>
      </c>
      <c r="AL23" s="389"/>
      <c r="AM23" s="388" t="str">
        <f t="shared" si="4"/>
        <v/>
      </c>
    </row>
    <row r="24" spans="1:39" x14ac:dyDescent="0.25">
      <c r="A24" s="60"/>
      <c r="B24" s="61" t="s">
        <v>134</v>
      </c>
      <c r="C24" s="508" t="s">
        <v>139</v>
      </c>
      <c r="D24" s="509"/>
      <c r="E24" s="62">
        <v>28.5</v>
      </c>
      <c r="F24" s="62"/>
      <c r="G24" s="62" t="str">
        <f t="shared" si="0"/>
        <v/>
      </c>
      <c r="I24" s="394"/>
      <c r="J24" s="392" t="s">
        <v>134</v>
      </c>
      <c r="K24" s="527" t="s">
        <v>139</v>
      </c>
      <c r="L24" s="528"/>
      <c r="M24" s="381">
        <v>34</v>
      </c>
      <c r="N24" s="381"/>
      <c r="O24" s="381" t="str">
        <f t="shared" si="1"/>
        <v/>
      </c>
      <c r="Q24" s="394"/>
      <c r="R24" s="392" t="s">
        <v>134</v>
      </c>
      <c r="S24" s="527" t="s">
        <v>139</v>
      </c>
      <c r="T24" s="528"/>
      <c r="U24" s="381">
        <v>13.5</v>
      </c>
      <c r="V24" s="389"/>
      <c r="W24" s="388" t="str">
        <f t="shared" si="2"/>
        <v/>
      </c>
      <c r="Y24" s="394"/>
      <c r="Z24" s="392" t="s">
        <v>134</v>
      </c>
      <c r="AA24" s="527" t="s">
        <v>139</v>
      </c>
      <c r="AB24" s="528"/>
      <c r="AC24" s="381">
        <v>11</v>
      </c>
      <c r="AD24" s="389"/>
      <c r="AE24" s="388" t="str">
        <f t="shared" si="3"/>
        <v/>
      </c>
      <c r="AG24" s="394"/>
      <c r="AH24" s="392" t="s">
        <v>134</v>
      </c>
      <c r="AI24" s="527" t="s">
        <v>139</v>
      </c>
      <c r="AJ24" s="528"/>
      <c r="AK24" s="381">
        <v>13.5</v>
      </c>
      <c r="AL24" s="389"/>
      <c r="AM24" s="388" t="str">
        <f t="shared" si="4"/>
        <v/>
      </c>
    </row>
    <row r="25" spans="1:39" x14ac:dyDescent="0.25">
      <c r="A25" s="60"/>
      <c r="B25" s="61" t="s">
        <v>134</v>
      </c>
      <c r="C25" s="508" t="s">
        <v>140</v>
      </c>
      <c r="D25" s="509"/>
      <c r="E25" s="62">
        <v>32.5</v>
      </c>
      <c r="F25" s="62"/>
      <c r="G25" s="62" t="str">
        <f t="shared" si="0"/>
        <v/>
      </c>
      <c r="I25" s="394"/>
      <c r="J25" s="392" t="s">
        <v>134</v>
      </c>
      <c r="K25" s="527" t="s">
        <v>140</v>
      </c>
      <c r="L25" s="528"/>
      <c r="M25" s="381">
        <v>43</v>
      </c>
      <c r="N25" s="381"/>
      <c r="O25" s="381" t="str">
        <f t="shared" si="1"/>
        <v/>
      </c>
      <c r="Q25" s="394"/>
      <c r="R25" s="392" t="s">
        <v>134</v>
      </c>
      <c r="S25" s="527" t="s">
        <v>140</v>
      </c>
      <c r="T25" s="528"/>
      <c r="U25" s="381">
        <v>15.5</v>
      </c>
      <c r="V25" s="389"/>
      <c r="W25" s="388" t="str">
        <f t="shared" si="2"/>
        <v/>
      </c>
      <c r="Y25" s="394"/>
      <c r="Z25" s="392" t="s">
        <v>134</v>
      </c>
      <c r="AA25" s="527" t="s">
        <v>140</v>
      </c>
      <c r="AB25" s="528"/>
      <c r="AC25" s="381">
        <v>12</v>
      </c>
      <c r="AD25" s="389"/>
      <c r="AE25" s="388" t="str">
        <f t="shared" si="3"/>
        <v/>
      </c>
      <c r="AG25" s="394"/>
      <c r="AH25" s="392" t="s">
        <v>134</v>
      </c>
      <c r="AI25" s="527" t="s">
        <v>140</v>
      </c>
      <c r="AJ25" s="528"/>
      <c r="AK25" s="381">
        <v>15.5</v>
      </c>
      <c r="AL25" s="389"/>
      <c r="AM25" s="388" t="str">
        <f t="shared" si="4"/>
        <v/>
      </c>
    </row>
    <row r="26" spans="1:39" x14ac:dyDescent="0.25">
      <c r="A26" s="60"/>
      <c r="B26" s="61" t="s">
        <v>134</v>
      </c>
      <c r="C26" s="508" t="s">
        <v>141</v>
      </c>
      <c r="D26" s="509"/>
      <c r="E26" s="62">
        <v>34.5</v>
      </c>
      <c r="F26" s="62"/>
      <c r="G26" s="62" t="str">
        <f t="shared" si="0"/>
        <v/>
      </c>
      <c r="I26" s="394"/>
      <c r="J26" s="392" t="s">
        <v>134</v>
      </c>
      <c r="K26" s="527" t="s">
        <v>141</v>
      </c>
      <c r="L26" s="528"/>
      <c r="M26" s="381">
        <v>45</v>
      </c>
      <c r="N26" s="381"/>
      <c r="O26" s="381" t="str">
        <f t="shared" si="1"/>
        <v/>
      </c>
      <c r="Q26" s="394"/>
      <c r="R26" s="392" t="s">
        <v>134</v>
      </c>
      <c r="S26" s="527" t="s">
        <v>141</v>
      </c>
      <c r="T26" s="528"/>
      <c r="U26" s="381">
        <v>18.5</v>
      </c>
      <c r="V26" s="389"/>
      <c r="W26" s="388" t="str">
        <f t="shared" si="2"/>
        <v/>
      </c>
      <c r="Y26" s="394"/>
      <c r="Z26" s="392" t="s">
        <v>134</v>
      </c>
      <c r="AA26" s="527" t="s">
        <v>141</v>
      </c>
      <c r="AB26" s="528"/>
      <c r="AC26" s="381">
        <v>13.5</v>
      </c>
      <c r="AD26" s="389"/>
      <c r="AE26" s="388" t="str">
        <f t="shared" si="3"/>
        <v/>
      </c>
      <c r="AG26" s="394"/>
      <c r="AH26" s="392" t="s">
        <v>134</v>
      </c>
      <c r="AI26" s="527" t="s">
        <v>141</v>
      </c>
      <c r="AJ26" s="528"/>
      <c r="AK26" s="381">
        <v>18.5</v>
      </c>
      <c r="AL26" s="389"/>
      <c r="AM26" s="388" t="str">
        <f t="shared" si="4"/>
        <v/>
      </c>
    </row>
    <row r="27" spans="1:39" x14ac:dyDescent="0.25">
      <c r="A27" s="60"/>
      <c r="B27" s="61" t="s">
        <v>134</v>
      </c>
      <c r="C27" s="508" t="s">
        <v>142</v>
      </c>
      <c r="D27" s="509"/>
      <c r="E27" s="62">
        <v>43.5</v>
      </c>
      <c r="F27" s="62"/>
      <c r="G27" s="62" t="str">
        <f t="shared" si="0"/>
        <v/>
      </c>
      <c r="I27" s="394"/>
      <c r="J27" s="392" t="s">
        <v>134</v>
      </c>
      <c r="K27" s="527" t="s">
        <v>142</v>
      </c>
      <c r="L27" s="528"/>
      <c r="M27" s="381">
        <v>52.5</v>
      </c>
      <c r="N27" s="381"/>
      <c r="O27" s="381" t="str">
        <f t="shared" si="1"/>
        <v/>
      </c>
      <c r="Q27" s="394"/>
      <c r="R27" s="392" t="s">
        <v>134</v>
      </c>
      <c r="S27" s="527" t="s">
        <v>142</v>
      </c>
      <c r="T27" s="528"/>
      <c r="U27" s="381">
        <v>24.5</v>
      </c>
      <c r="V27" s="389"/>
      <c r="W27" s="388" t="str">
        <f t="shared" si="2"/>
        <v/>
      </c>
      <c r="Y27" s="394"/>
      <c r="Z27" s="392" t="s">
        <v>134</v>
      </c>
      <c r="AA27" s="527" t="s">
        <v>142</v>
      </c>
      <c r="AB27" s="528"/>
      <c r="AC27" s="381">
        <v>18</v>
      </c>
      <c r="AD27" s="389"/>
      <c r="AE27" s="388" t="str">
        <f t="shared" si="3"/>
        <v/>
      </c>
      <c r="AG27" s="394"/>
      <c r="AH27" s="392" t="s">
        <v>134</v>
      </c>
      <c r="AI27" s="527" t="s">
        <v>142</v>
      </c>
      <c r="AJ27" s="528"/>
      <c r="AK27" s="381">
        <v>24.5</v>
      </c>
      <c r="AL27" s="389"/>
      <c r="AM27" s="388" t="str">
        <f t="shared" si="4"/>
        <v/>
      </c>
    </row>
    <row r="28" spans="1:39" x14ac:dyDescent="0.25">
      <c r="A28" s="60"/>
      <c r="B28" s="61" t="s">
        <v>134</v>
      </c>
      <c r="C28" s="508" t="s">
        <v>143</v>
      </c>
      <c r="D28" s="509"/>
      <c r="E28" s="62">
        <v>51.5</v>
      </c>
      <c r="F28" s="62"/>
      <c r="G28" s="62" t="str">
        <f t="shared" si="0"/>
        <v/>
      </c>
      <c r="I28" s="394"/>
      <c r="J28" s="392" t="s">
        <v>134</v>
      </c>
      <c r="K28" s="527" t="s">
        <v>143</v>
      </c>
      <c r="L28" s="528"/>
      <c r="M28" s="381">
        <v>57.5</v>
      </c>
      <c r="N28" s="381"/>
      <c r="O28" s="381" t="str">
        <f t="shared" si="1"/>
        <v/>
      </c>
      <c r="Q28" s="394"/>
      <c r="R28" s="392" t="s">
        <v>134</v>
      </c>
      <c r="S28" s="527" t="s">
        <v>143</v>
      </c>
      <c r="T28" s="528"/>
      <c r="U28" s="381">
        <v>31.25</v>
      </c>
      <c r="V28" s="389"/>
      <c r="W28" s="388" t="str">
        <f t="shared" si="2"/>
        <v/>
      </c>
      <c r="Y28" s="394"/>
      <c r="Z28" s="392" t="s">
        <v>134</v>
      </c>
      <c r="AA28" s="527" t="s">
        <v>143</v>
      </c>
      <c r="AB28" s="528"/>
      <c r="AC28" s="381">
        <v>23</v>
      </c>
      <c r="AD28" s="389"/>
      <c r="AE28" s="388" t="str">
        <f t="shared" si="3"/>
        <v/>
      </c>
      <c r="AG28" s="394"/>
      <c r="AH28" s="392" t="s">
        <v>134</v>
      </c>
      <c r="AI28" s="527" t="s">
        <v>143</v>
      </c>
      <c r="AJ28" s="528"/>
      <c r="AK28" s="381">
        <v>31.25</v>
      </c>
      <c r="AL28" s="389"/>
      <c r="AM28" s="388" t="str">
        <f t="shared" si="4"/>
        <v/>
      </c>
    </row>
    <row r="29" spans="1:39" x14ac:dyDescent="0.25">
      <c r="A29" s="60"/>
      <c r="B29" s="61" t="s">
        <v>134</v>
      </c>
      <c r="C29" s="508" t="s">
        <v>144</v>
      </c>
      <c r="D29" s="509"/>
      <c r="E29" s="62">
        <v>63</v>
      </c>
      <c r="F29" s="62"/>
      <c r="G29" s="62" t="str">
        <f t="shared" si="0"/>
        <v/>
      </c>
      <c r="I29" s="394"/>
      <c r="J29" s="392" t="s">
        <v>134</v>
      </c>
      <c r="K29" s="527" t="s">
        <v>144</v>
      </c>
      <c r="L29" s="528"/>
      <c r="M29" s="381">
        <v>68</v>
      </c>
      <c r="N29" s="381"/>
      <c r="O29" s="381" t="str">
        <f t="shared" si="1"/>
        <v/>
      </c>
      <c r="Q29" s="394"/>
      <c r="R29" s="392" t="s">
        <v>134</v>
      </c>
      <c r="S29" s="527" t="s">
        <v>144</v>
      </c>
      <c r="T29" s="528"/>
      <c r="U29" s="381">
        <v>41</v>
      </c>
      <c r="V29" s="389"/>
      <c r="W29" s="388" t="str">
        <f t="shared" si="2"/>
        <v/>
      </c>
      <c r="Y29" s="394"/>
      <c r="Z29" s="392" t="s">
        <v>134</v>
      </c>
      <c r="AA29" s="527" t="s">
        <v>144</v>
      </c>
      <c r="AB29" s="528"/>
      <c r="AC29" s="381">
        <v>29</v>
      </c>
      <c r="AD29" s="389"/>
      <c r="AE29" s="388" t="str">
        <f t="shared" si="3"/>
        <v/>
      </c>
      <c r="AG29" s="394"/>
      <c r="AH29" s="392" t="s">
        <v>134</v>
      </c>
      <c r="AI29" s="527" t="s">
        <v>144</v>
      </c>
      <c r="AJ29" s="528"/>
      <c r="AK29" s="381">
        <v>41</v>
      </c>
      <c r="AL29" s="389"/>
      <c r="AM29" s="388" t="str">
        <f t="shared" si="4"/>
        <v/>
      </c>
    </row>
    <row r="30" spans="1:39" x14ac:dyDescent="0.25">
      <c r="A30" s="60"/>
      <c r="B30" s="61" t="s">
        <v>134</v>
      </c>
      <c r="C30" s="508" t="s">
        <v>145</v>
      </c>
      <c r="D30" s="509"/>
      <c r="E30" s="62">
        <v>80</v>
      </c>
      <c r="F30" s="62"/>
      <c r="G30" s="62" t="str">
        <f t="shared" si="0"/>
        <v/>
      </c>
      <c r="I30" s="394"/>
      <c r="J30" s="392" t="s">
        <v>134</v>
      </c>
      <c r="K30" s="527" t="s">
        <v>145</v>
      </c>
      <c r="L30" s="528"/>
      <c r="M30" s="381">
        <v>79</v>
      </c>
      <c r="N30" s="381"/>
      <c r="O30" s="381" t="str">
        <f t="shared" si="1"/>
        <v/>
      </c>
      <c r="Q30" s="394"/>
      <c r="R30" s="392" t="s">
        <v>134</v>
      </c>
      <c r="S30" s="527" t="s">
        <v>145</v>
      </c>
      <c r="T30" s="528"/>
      <c r="U30" s="381">
        <v>49</v>
      </c>
      <c r="V30" s="389"/>
      <c r="W30" s="388" t="str">
        <f t="shared" si="2"/>
        <v/>
      </c>
      <c r="Y30" s="394"/>
      <c r="Z30" s="392" t="s">
        <v>134</v>
      </c>
      <c r="AA30" s="527" t="s">
        <v>145</v>
      </c>
      <c r="AB30" s="528"/>
      <c r="AC30" s="381">
        <v>36</v>
      </c>
      <c r="AD30" s="389"/>
      <c r="AE30" s="388" t="str">
        <f t="shared" si="3"/>
        <v/>
      </c>
      <c r="AG30" s="394"/>
      <c r="AH30" s="392" t="s">
        <v>134</v>
      </c>
      <c r="AI30" s="527" t="s">
        <v>145</v>
      </c>
      <c r="AJ30" s="528"/>
      <c r="AK30" s="381">
        <v>49</v>
      </c>
      <c r="AL30" s="389"/>
      <c r="AM30" s="388" t="str">
        <f t="shared" si="4"/>
        <v/>
      </c>
    </row>
    <row r="31" spans="1:39" x14ac:dyDescent="0.25">
      <c r="A31" s="60"/>
      <c r="B31" s="61" t="s">
        <v>134</v>
      </c>
      <c r="C31" s="508" t="s">
        <v>146</v>
      </c>
      <c r="D31" s="509"/>
      <c r="E31" s="62">
        <v>93</v>
      </c>
      <c r="F31" s="62"/>
      <c r="G31" s="62" t="str">
        <f t="shared" si="0"/>
        <v/>
      </c>
      <c r="I31" s="394"/>
      <c r="J31" s="392" t="s">
        <v>134</v>
      </c>
      <c r="K31" s="527" t="s">
        <v>146</v>
      </c>
      <c r="L31" s="528"/>
      <c r="M31" s="381">
        <v>86</v>
      </c>
      <c r="N31" s="381"/>
      <c r="O31" s="381" t="str">
        <f t="shared" si="1"/>
        <v/>
      </c>
      <c r="Q31" s="394"/>
      <c r="R31" s="392" t="s">
        <v>134</v>
      </c>
      <c r="S31" s="527" t="s">
        <v>146</v>
      </c>
      <c r="T31" s="528"/>
      <c r="U31" s="381">
        <v>57</v>
      </c>
      <c r="V31" s="389"/>
      <c r="W31" s="388" t="str">
        <f t="shared" si="2"/>
        <v/>
      </c>
      <c r="Y31" s="394"/>
      <c r="Z31" s="392" t="s">
        <v>134</v>
      </c>
      <c r="AA31" s="527" t="s">
        <v>146</v>
      </c>
      <c r="AB31" s="528"/>
      <c r="AC31" s="381">
        <v>42.5</v>
      </c>
      <c r="AD31" s="389"/>
      <c r="AE31" s="388" t="str">
        <f t="shared" si="3"/>
        <v/>
      </c>
      <c r="AG31" s="394"/>
      <c r="AH31" s="392" t="s">
        <v>134</v>
      </c>
      <c r="AI31" s="527" t="s">
        <v>146</v>
      </c>
      <c r="AJ31" s="528"/>
      <c r="AK31" s="381">
        <v>57</v>
      </c>
      <c r="AL31" s="389"/>
      <c r="AM31" s="388" t="str">
        <f t="shared" si="4"/>
        <v/>
      </c>
    </row>
    <row r="32" spans="1:39" x14ac:dyDescent="0.25">
      <c r="A32" s="60"/>
      <c r="B32" s="61" t="s">
        <v>134</v>
      </c>
      <c r="C32" s="508" t="s">
        <v>147</v>
      </c>
      <c r="D32" s="509"/>
      <c r="E32" s="62">
        <v>103</v>
      </c>
      <c r="F32" s="62"/>
      <c r="G32" s="62" t="str">
        <f t="shared" si="0"/>
        <v/>
      </c>
      <c r="I32" s="394"/>
      <c r="J32" s="392" t="s">
        <v>134</v>
      </c>
      <c r="K32" s="527" t="s">
        <v>147</v>
      </c>
      <c r="L32" s="528"/>
      <c r="M32" s="381">
        <v>110</v>
      </c>
      <c r="N32" s="381"/>
      <c r="O32" s="381" t="str">
        <f t="shared" si="1"/>
        <v/>
      </c>
      <c r="Q32" s="394"/>
      <c r="R32" s="392" t="s">
        <v>134</v>
      </c>
      <c r="S32" s="527" t="s">
        <v>147</v>
      </c>
      <c r="T32" s="528"/>
      <c r="U32" s="381">
        <v>66</v>
      </c>
      <c r="V32" s="389"/>
      <c r="W32" s="388" t="str">
        <f t="shared" si="2"/>
        <v/>
      </c>
      <c r="Y32" s="394"/>
      <c r="Z32" s="392" t="s">
        <v>134</v>
      </c>
      <c r="AA32" s="527" t="s">
        <v>147</v>
      </c>
      <c r="AB32" s="528"/>
      <c r="AC32" s="381">
        <v>49</v>
      </c>
      <c r="AD32" s="389"/>
      <c r="AE32" s="388" t="str">
        <f t="shared" si="3"/>
        <v/>
      </c>
      <c r="AG32" s="394"/>
      <c r="AH32" s="392" t="s">
        <v>134</v>
      </c>
      <c r="AI32" s="527" t="s">
        <v>147</v>
      </c>
      <c r="AJ32" s="528"/>
      <c r="AK32" s="381">
        <v>66</v>
      </c>
      <c r="AL32" s="389"/>
      <c r="AM32" s="388" t="str">
        <f t="shared" si="4"/>
        <v/>
      </c>
    </row>
    <row r="33" spans="1:39" x14ac:dyDescent="0.25">
      <c r="A33" s="60"/>
      <c r="B33" s="61" t="s">
        <v>134</v>
      </c>
      <c r="C33" s="508" t="s">
        <v>148</v>
      </c>
      <c r="D33" s="509"/>
      <c r="E33" s="62">
        <v>114</v>
      </c>
      <c r="F33" s="62"/>
      <c r="G33" s="62" t="str">
        <f t="shared" si="0"/>
        <v/>
      </c>
      <c r="I33" s="394"/>
      <c r="J33" s="392" t="s">
        <v>134</v>
      </c>
      <c r="K33" s="527" t="s">
        <v>148</v>
      </c>
      <c r="L33" s="528"/>
      <c r="M33" s="381">
        <v>145</v>
      </c>
      <c r="N33" s="381"/>
      <c r="O33" s="381" t="str">
        <f t="shared" si="1"/>
        <v/>
      </c>
      <c r="Q33" s="394"/>
      <c r="R33" s="392" t="s">
        <v>134</v>
      </c>
      <c r="S33" s="527" t="s">
        <v>148</v>
      </c>
      <c r="T33" s="528"/>
      <c r="U33" s="381">
        <v>87</v>
      </c>
      <c r="V33" s="389"/>
      <c r="W33" s="388" t="str">
        <f t="shared" si="2"/>
        <v/>
      </c>
      <c r="Y33" s="394"/>
      <c r="Z33" s="392" t="s">
        <v>134</v>
      </c>
      <c r="AA33" s="527" t="s">
        <v>148</v>
      </c>
      <c r="AB33" s="528"/>
      <c r="AC33" s="381">
        <v>65</v>
      </c>
      <c r="AD33" s="389"/>
      <c r="AE33" s="388" t="str">
        <f t="shared" si="3"/>
        <v/>
      </c>
      <c r="AG33" s="394"/>
      <c r="AH33" s="392" t="s">
        <v>134</v>
      </c>
      <c r="AI33" s="527" t="s">
        <v>148</v>
      </c>
      <c r="AJ33" s="528"/>
      <c r="AK33" s="381">
        <v>87</v>
      </c>
      <c r="AL33" s="389"/>
      <c r="AM33" s="388" t="str">
        <f t="shared" si="4"/>
        <v/>
      </c>
    </row>
    <row r="34" spans="1:39" x14ac:dyDescent="0.25">
      <c r="A34" s="60"/>
      <c r="B34" s="61" t="s">
        <v>134</v>
      </c>
      <c r="C34" s="508" t="s">
        <v>149</v>
      </c>
      <c r="D34" s="509"/>
      <c r="E34" s="62">
        <v>125</v>
      </c>
      <c r="F34" s="62"/>
      <c r="G34" s="62" t="str">
        <f t="shared" si="0"/>
        <v/>
      </c>
      <c r="I34" s="394">
        <v>8</v>
      </c>
      <c r="J34" s="392" t="s">
        <v>134</v>
      </c>
      <c r="K34" s="527" t="s">
        <v>149</v>
      </c>
      <c r="L34" s="528"/>
      <c r="M34" s="381">
        <v>175</v>
      </c>
      <c r="N34" s="381"/>
      <c r="O34" s="381">
        <f t="shared" si="1"/>
        <v>1400</v>
      </c>
      <c r="Q34" s="394"/>
      <c r="R34" s="392" t="s">
        <v>134</v>
      </c>
      <c r="S34" s="527" t="s">
        <v>149</v>
      </c>
      <c r="T34" s="528"/>
      <c r="U34" s="381">
        <v>93.5</v>
      </c>
      <c r="V34" s="389"/>
      <c r="W34" s="388" t="str">
        <f t="shared" si="2"/>
        <v/>
      </c>
      <c r="Y34" s="394"/>
      <c r="Z34" s="392" t="s">
        <v>134</v>
      </c>
      <c r="AA34" s="527" t="s">
        <v>149</v>
      </c>
      <c r="AB34" s="528"/>
      <c r="AC34" s="381">
        <v>70</v>
      </c>
      <c r="AD34" s="389"/>
      <c r="AE34" s="388" t="str">
        <f t="shared" si="3"/>
        <v/>
      </c>
      <c r="AG34" s="394"/>
      <c r="AH34" s="392" t="s">
        <v>134</v>
      </c>
      <c r="AI34" s="527" t="s">
        <v>149</v>
      </c>
      <c r="AJ34" s="528"/>
      <c r="AK34" s="381">
        <v>93.5</v>
      </c>
      <c r="AL34" s="389"/>
      <c r="AM34" s="388" t="str">
        <f t="shared" si="4"/>
        <v/>
      </c>
    </row>
    <row r="35" spans="1:39" x14ac:dyDescent="0.25">
      <c r="A35" s="60"/>
      <c r="B35" s="61" t="s">
        <v>184</v>
      </c>
      <c r="C35" s="508" t="s">
        <v>185</v>
      </c>
      <c r="D35" s="509"/>
      <c r="E35" s="62">
        <v>7.5</v>
      </c>
      <c r="F35" s="62"/>
      <c r="G35" s="62">
        <f>SUM(A35*E35)*1.2</f>
        <v>0</v>
      </c>
      <c r="I35" s="394"/>
      <c r="J35" s="392" t="s">
        <v>184</v>
      </c>
      <c r="K35" s="527" t="s">
        <v>185</v>
      </c>
      <c r="L35" s="528"/>
      <c r="M35" s="381">
        <v>8</v>
      </c>
      <c r="N35" s="381"/>
      <c r="O35" s="381">
        <f>SUM(I35*M35)*1.2</f>
        <v>0</v>
      </c>
      <c r="Q35" s="394"/>
      <c r="R35" s="392" t="s">
        <v>134</v>
      </c>
      <c r="S35" s="527" t="s">
        <v>150</v>
      </c>
      <c r="T35" s="528"/>
      <c r="U35" s="381">
        <v>107</v>
      </c>
      <c r="V35" s="389"/>
      <c r="W35" s="388" t="str">
        <f t="shared" si="2"/>
        <v/>
      </c>
      <c r="Y35" s="394"/>
      <c r="Z35" s="392" t="s">
        <v>134</v>
      </c>
      <c r="AA35" s="527" t="s">
        <v>150</v>
      </c>
      <c r="AB35" s="528"/>
      <c r="AC35" s="381">
        <v>80</v>
      </c>
      <c r="AD35" s="389"/>
      <c r="AE35" s="388" t="str">
        <f t="shared" si="3"/>
        <v/>
      </c>
      <c r="AG35" s="394"/>
      <c r="AH35" s="392" t="s">
        <v>134</v>
      </c>
      <c r="AI35" s="527" t="s">
        <v>150</v>
      </c>
      <c r="AJ35" s="528"/>
      <c r="AK35" s="381">
        <v>107</v>
      </c>
      <c r="AL35" s="389"/>
      <c r="AM35" s="388" t="str">
        <f t="shared" si="4"/>
        <v/>
      </c>
    </row>
    <row r="36" spans="1:39" x14ac:dyDescent="0.25">
      <c r="A36" s="60"/>
      <c r="B36" s="61" t="s">
        <v>184</v>
      </c>
      <c r="C36" s="508" t="s">
        <v>186</v>
      </c>
      <c r="D36" s="509"/>
      <c r="E36" s="62">
        <v>10</v>
      </c>
      <c r="F36" s="62"/>
      <c r="G36" s="62">
        <f>SUM(A36*E36)*1.2</f>
        <v>0</v>
      </c>
      <c r="I36" s="394"/>
      <c r="J36" s="392" t="s">
        <v>184</v>
      </c>
      <c r="K36" s="527" t="s">
        <v>186</v>
      </c>
      <c r="L36" s="528"/>
      <c r="M36" s="381">
        <v>10.5</v>
      </c>
      <c r="N36" s="381"/>
      <c r="O36" s="381">
        <f>SUM(I36*M36)*1.2</f>
        <v>0</v>
      </c>
      <c r="Q36" s="394"/>
      <c r="R36" s="392" t="s">
        <v>134</v>
      </c>
      <c r="S36" s="527" t="s">
        <v>151</v>
      </c>
      <c r="T36" s="528"/>
      <c r="U36" s="381">
        <v>120</v>
      </c>
      <c r="V36" s="389"/>
      <c r="W36" s="388" t="str">
        <f t="shared" si="2"/>
        <v/>
      </c>
      <c r="Y36" s="394"/>
      <c r="Z36" s="392" t="s">
        <v>134</v>
      </c>
      <c r="AA36" s="527" t="s">
        <v>151</v>
      </c>
      <c r="AB36" s="528"/>
      <c r="AC36" s="381">
        <v>86</v>
      </c>
      <c r="AD36" s="389"/>
      <c r="AE36" s="388" t="str">
        <f t="shared" si="3"/>
        <v/>
      </c>
      <c r="AG36" s="394"/>
      <c r="AH36" s="392" t="s">
        <v>134</v>
      </c>
      <c r="AI36" s="527" t="s">
        <v>151</v>
      </c>
      <c r="AJ36" s="528"/>
      <c r="AK36" s="381">
        <v>120</v>
      </c>
      <c r="AL36" s="389"/>
      <c r="AM36" s="388" t="str">
        <f t="shared" si="4"/>
        <v/>
      </c>
    </row>
    <row r="37" spans="1:39" x14ac:dyDescent="0.25">
      <c r="A37" s="60"/>
      <c r="B37" s="61" t="s">
        <v>184</v>
      </c>
      <c r="C37" s="508" t="s">
        <v>187</v>
      </c>
      <c r="D37" s="509"/>
      <c r="E37" s="62">
        <v>13</v>
      </c>
      <c r="F37" s="62"/>
      <c r="G37" s="62">
        <f>SUM(A37*E37)*1.2</f>
        <v>0</v>
      </c>
      <c r="I37" s="394"/>
      <c r="J37" s="392" t="s">
        <v>184</v>
      </c>
      <c r="K37" s="527" t="s">
        <v>187</v>
      </c>
      <c r="L37" s="528"/>
      <c r="M37" s="381">
        <v>14</v>
      </c>
      <c r="N37" s="381"/>
      <c r="O37" s="381">
        <f>SUM(I37*M37)*1.2</f>
        <v>0</v>
      </c>
      <c r="Q37" s="394"/>
      <c r="R37" s="392" t="s">
        <v>134</v>
      </c>
      <c r="S37" s="527" t="s">
        <v>152</v>
      </c>
      <c r="T37" s="528"/>
      <c r="U37" s="381">
        <v>129</v>
      </c>
      <c r="V37" s="389"/>
      <c r="W37" s="388" t="str">
        <f t="shared" si="2"/>
        <v/>
      </c>
      <c r="Y37" s="394"/>
      <c r="Z37" s="392" t="s">
        <v>134</v>
      </c>
      <c r="AA37" s="527" t="s">
        <v>152</v>
      </c>
      <c r="AB37" s="528"/>
      <c r="AC37" s="381">
        <v>95</v>
      </c>
      <c r="AD37" s="389"/>
      <c r="AE37" s="388" t="str">
        <f t="shared" si="3"/>
        <v/>
      </c>
      <c r="AG37" s="394"/>
      <c r="AH37" s="392" t="s">
        <v>134</v>
      </c>
      <c r="AI37" s="527" t="s">
        <v>152</v>
      </c>
      <c r="AJ37" s="528"/>
      <c r="AK37" s="381">
        <v>129</v>
      </c>
      <c r="AL37" s="389"/>
      <c r="AM37" s="388" t="str">
        <f t="shared" si="4"/>
        <v/>
      </c>
    </row>
    <row r="38" spans="1:39" x14ac:dyDescent="0.25">
      <c r="A38" s="60"/>
      <c r="B38" s="61" t="s">
        <v>184</v>
      </c>
      <c r="C38" s="508" t="s">
        <v>188</v>
      </c>
      <c r="D38" s="509"/>
      <c r="E38" s="62">
        <v>18</v>
      </c>
      <c r="F38" s="62"/>
      <c r="G38" s="62">
        <f>SUM(A38*E38)*1.2</f>
        <v>0</v>
      </c>
      <c r="I38" s="394"/>
      <c r="J38" s="392" t="s">
        <v>184</v>
      </c>
      <c r="K38" s="527" t="s">
        <v>188</v>
      </c>
      <c r="L38" s="528"/>
      <c r="M38" s="381">
        <v>20</v>
      </c>
      <c r="N38" s="381"/>
      <c r="O38" s="381">
        <f>SUM(I38*M38)*1.2</f>
        <v>0</v>
      </c>
      <c r="Q38" s="394"/>
      <c r="R38" s="392" t="s">
        <v>134</v>
      </c>
      <c r="S38" s="527" t="s">
        <v>153</v>
      </c>
      <c r="T38" s="528"/>
      <c r="U38" s="381">
        <v>165</v>
      </c>
      <c r="V38" s="389"/>
      <c r="W38" s="388" t="str">
        <f t="shared" si="2"/>
        <v/>
      </c>
      <c r="Y38" s="394"/>
      <c r="Z38" s="392" t="s">
        <v>134</v>
      </c>
      <c r="AA38" s="527" t="s">
        <v>153</v>
      </c>
      <c r="AB38" s="528"/>
      <c r="AC38" s="381">
        <v>120</v>
      </c>
      <c r="AD38" s="389"/>
      <c r="AE38" s="388" t="str">
        <f t="shared" si="3"/>
        <v/>
      </c>
      <c r="AG38" s="394"/>
      <c r="AH38" s="392" t="s">
        <v>134</v>
      </c>
      <c r="AI38" s="527" t="s">
        <v>153</v>
      </c>
      <c r="AJ38" s="528"/>
      <c r="AK38" s="381">
        <v>165</v>
      </c>
      <c r="AL38" s="389"/>
      <c r="AM38" s="388" t="str">
        <f t="shared" si="4"/>
        <v/>
      </c>
    </row>
    <row r="39" spans="1:39" x14ac:dyDescent="0.25">
      <c r="A39" s="60"/>
      <c r="B39" s="61" t="s">
        <v>184</v>
      </c>
      <c r="C39" s="508" t="s">
        <v>189</v>
      </c>
      <c r="D39" s="509"/>
      <c r="E39" s="62">
        <v>25</v>
      </c>
      <c r="F39" s="62"/>
      <c r="G39" s="62">
        <f>SUM(A39*E39)*1.2</f>
        <v>0</v>
      </c>
      <c r="I39" s="394">
        <v>8</v>
      </c>
      <c r="J39" s="392" t="s">
        <v>184</v>
      </c>
      <c r="K39" s="527" t="s">
        <v>189</v>
      </c>
      <c r="L39" s="528"/>
      <c r="M39" s="381">
        <v>25</v>
      </c>
      <c r="N39" s="381"/>
      <c r="O39" s="381">
        <f>SUM(I39*M39)*1.2</f>
        <v>240</v>
      </c>
      <c r="Q39" s="394"/>
      <c r="R39" s="408" t="s">
        <v>154</v>
      </c>
      <c r="S39" s="529" t="s">
        <v>155</v>
      </c>
      <c r="T39" s="530"/>
      <c r="U39" s="401" t="s">
        <v>156</v>
      </c>
      <c r="V39" s="396"/>
      <c r="W39" s="395"/>
      <c r="Y39" s="394"/>
      <c r="Z39" s="408" t="s">
        <v>154</v>
      </c>
      <c r="AA39" s="529" t="s">
        <v>155</v>
      </c>
      <c r="AB39" s="530"/>
      <c r="AC39" s="401" t="s">
        <v>156</v>
      </c>
      <c r="AD39" s="396"/>
      <c r="AE39" s="395"/>
      <c r="AG39" s="394"/>
      <c r="AH39" s="408" t="s">
        <v>154</v>
      </c>
      <c r="AI39" s="529" t="s">
        <v>155</v>
      </c>
      <c r="AJ39" s="530"/>
      <c r="AK39" s="401" t="s">
        <v>156</v>
      </c>
      <c r="AL39" s="396"/>
      <c r="AM39" s="395"/>
    </row>
    <row r="40" spans="1:39" x14ac:dyDescent="0.25">
      <c r="A40" s="60"/>
      <c r="B40" s="63" t="s">
        <v>154</v>
      </c>
      <c r="C40" s="510" t="s">
        <v>155</v>
      </c>
      <c r="D40" s="511"/>
      <c r="E40" s="64" t="s">
        <v>156</v>
      </c>
      <c r="F40" s="60"/>
      <c r="G40" s="60"/>
      <c r="I40" s="394"/>
      <c r="J40" s="408" t="s">
        <v>154</v>
      </c>
      <c r="K40" s="529" t="s">
        <v>155</v>
      </c>
      <c r="L40" s="530"/>
      <c r="M40" s="401" t="s">
        <v>156</v>
      </c>
      <c r="N40" s="394"/>
      <c r="O40" s="394"/>
      <c r="Q40" s="394"/>
      <c r="R40" s="392" t="s">
        <v>157</v>
      </c>
      <c r="S40" s="527" t="s">
        <v>158</v>
      </c>
      <c r="T40" s="528"/>
      <c r="U40" s="381">
        <v>0.75</v>
      </c>
      <c r="V40" s="402">
        <f>(Q40*U40)</f>
        <v>0</v>
      </c>
      <c r="W40" s="388">
        <f>(Q40*U40)*2</f>
        <v>0</v>
      </c>
      <c r="Y40" s="394"/>
      <c r="Z40" s="392" t="s">
        <v>157</v>
      </c>
      <c r="AA40" s="527" t="s">
        <v>158</v>
      </c>
      <c r="AB40" s="528"/>
      <c r="AC40" s="381">
        <v>1.25</v>
      </c>
      <c r="AD40" s="402">
        <f>(Y40*AC40)</f>
        <v>0</v>
      </c>
      <c r="AE40" s="388">
        <f>(Y40*AC40)*2</f>
        <v>0</v>
      </c>
      <c r="AG40" s="394"/>
      <c r="AH40" s="392" t="s">
        <v>157</v>
      </c>
      <c r="AI40" s="527" t="s">
        <v>158</v>
      </c>
      <c r="AJ40" s="528"/>
      <c r="AK40" s="381">
        <v>0.75</v>
      </c>
      <c r="AL40" s="402">
        <f>(AG40*AK40)</f>
        <v>0</v>
      </c>
      <c r="AM40" s="388">
        <f>(AG40*AK40)*2</f>
        <v>0</v>
      </c>
    </row>
    <row r="41" spans="1:39" x14ac:dyDescent="0.25">
      <c r="A41" s="60"/>
      <c r="B41" s="61" t="s">
        <v>159</v>
      </c>
      <c r="C41" s="508" t="s">
        <v>190</v>
      </c>
      <c r="D41" s="509"/>
      <c r="E41" s="62">
        <v>2</v>
      </c>
      <c r="F41" s="65">
        <f>SUM(E41*A41)</f>
        <v>0</v>
      </c>
      <c r="G41" s="62">
        <f>SUM(A41*E41)*2</f>
        <v>0</v>
      </c>
      <c r="I41" s="394">
        <v>40</v>
      </c>
      <c r="J41" s="392" t="s">
        <v>159</v>
      </c>
      <c r="K41" s="527" t="s">
        <v>190</v>
      </c>
      <c r="L41" s="528"/>
      <c r="M41" s="381">
        <v>2.2000000000000002</v>
      </c>
      <c r="N41" s="402">
        <f>SUM(M41*I41)</f>
        <v>88</v>
      </c>
      <c r="O41" s="381">
        <f>SUM(I41*M41)*2</f>
        <v>176</v>
      </c>
      <c r="Q41" s="394"/>
      <c r="R41" s="392" t="s">
        <v>159</v>
      </c>
      <c r="S41" s="527" t="s">
        <v>160</v>
      </c>
      <c r="T41" s="528"/>
      <c r="U41" s="381">
        <v>2</v>
      </c>
      <c r="V41" s="402">
        <f>(Q41*U41)</f>
        <v>0</v>
      </c>
      <c r="W41" s="388">
        <f>(Q41*U41)*2.5</f>
        <v>0</v>
      </c>
      <c r="Y41" s="394"/>
      <c r="Z41" s="392" t="s">
        <v>159</v>
      </c>
      <c r="AA41" s="527" t="s">
        <v>160</v>
      </c>
      <c r="AB41" s="528"/>
      <c r="AC41" s="381">
        <v>2.5</v>
      </c>
      <c r="AD41" s="402">
        <f>(Y41*AC41)</f>
        <v>0</v>
      </c>
      <c r="AE41" s="388">
        <f>(Y41*AC41)*2.5</f>
        <v>0</v>
      </c>
      <c r="AG41" s="394"/>
      <c r="AH41" s="392" t="s">
        <v>159</v>
      </c>
      <c r="AI41" s="527" t="s">
        <v>160</v>
      </c>
      <c r="AJ41" s="528"/>
      <c r="AK41" s="381">
        <v>2</v>
      </c>
      <c r="AL41" s="402">
        <f>(AG41*AK41)</f>
        <v>0</v>
      </c>
      <c r="AM41" s="388">
        <f>(AG41*AK41)*2.5</f>
        <v>0</v>
      </c>
    </row>
    <row r="42" spans="1:39" ht="15" customHeight="1" x14ac:dyDescent="0.25">
      <c r="A42" s="60"/>
      <c r="B42" s="61" t="s">
        <v>161</v>
      </c>
      <c r="C42" s="508" t="s">
        <v>162</v>
      </c>
      <c r="D42" s="509"/>
      <c r="E42" s="62">
        <v>2.5</v>
      </c>
      <c r="F42" s="65">
        <f>SUM(E42*A42)</f>
        <v>0</v>
      </c>
      <c r="G42" s="62">
        <f>SUM(A42*E42)*2</f>
        <v>0</v>
      </c>
      <c r="I42" s="394"/>
      <c r="J42" s="392" t="s">
        <v>161</v>
      </c>
      <c r="K42" s="527" t="s">
        <v>162</v>
      </c>
      <c r="L42" s="528"/>
      <c r="M42" s="381">
        <v>4.5</v>
      </c>
      <c r="N42" s="402">
        <f>SUM(M42*I42)</f>
        <v>0</v>
      </c>
      <c r="O42" s="381">
        <f>SUM(I42*M42)*2</f>
        <v>0</v>
      </c>
      <c r="Q42" s="394"/>
      <c r="R42" s="392" t="s">
        <v>161</v>
      </c>
      <c r="S42" s="527" t="s">
        <v>162</v>
      </c>
      <c r="T42" s="528"/>
      <c r="U42" s="381">
        <v>2.5</v>
      </c>
      <c r="V42" s="402">
        <f>(Q42*U42)</f>
        <v>0</v>
      </c>
      <c r="W42" s="388">
        <f>(Q42*U42)*2</f>
        <v>0</v>
      </c>
      <c r="Y42" s="394"/>
      <c r="Z42" s="392" t="s">
        <v>161</v>
      </c>
      <c r="AA42" s="527" t="s">
        <v>162</v>
      </c>
      <c r="AB42" s="528"/>
      <c r="AC42" s="381">
        <v>4</v>
      </c>
      <c r="AD42" s="402">
        <f>(Y42*AC42)</f>
        <v>0</v>
      </c>
      <c r="AE42" s="388">
        <f>(Y42*AC42)*2</f>
        <v>0</v>
      </c>
      <c r="AG42" s="394"/>
      <c r="AH42" s="392" t="s">
        <v>161</v>
      </c>
      <c r="AI42" s="527" t="s">
        <v>162</v>
      </c>
      <c r="AJ42" s="528"/>
      <c r="AK42" s="381">
        <v>2.5</v>
      </c>
      <c r="AL42" s="402">
        <f>(AG42*AK42)</f>
        <v>0</v>
      </c>
      <c r="AM42" s="388">
        <f>(AG42*AK42)*2</f>
        <v>0</v>
      </c>
    </row>
    <row r="43" spans="1:39" ht="15" customHeight="1" x14ac:dyDescent="0.25">
      <c r="A43" s="60"/>
      <c r="B43" s="56" t="s">
        <v>163</v>
      </c>
      <c r="C43" s="512" t="s">
        <v>191</v>
      </c>
      <c r="D43" s="513"/>
      <c r="E43" s="60" t="s">
        <v>156</v>
      </c>
      <c r="F43" s="60"/>
      <c r="G43" s="60"/>
      <c r="I43" s="394"/>
      <c r="J43" s="397" t="s">
        <v>163</v>
      </c>
      <c r="K43" s="542" t="s">
        <v>191</v>
      </c>
      <c r="L43" s="543"/>
      <c r="M43" s="394" t="s">
        <v>156</v>
      </c>
      <c r="N43" s="394"/>
      <c r="O43" s="394"/>
      <c r="Q43" s="394"/>
      <c r="R43" s="397" t="s">
        <v>163</v>
      </c>
      <c r="S43" s="542" t="s">
        <v>164</v>
      </c>
      <c r="T43" s="543"/>
      <c r="U43" s="394" t="s">
        <v>156</v>
      </c>
      <c r="V43" s="396">
        <v>0</v>
      </c>
      <c r="W43" s="395">
        <f>(V43*0.4)+V43</f>
        <v>0</v>
      </c>
      <c r="Y43" s="394"/>
      <c r="Z43" s="397" t="s">
        <v>163</v>
      </c>
      <c r="AA43" s="542" t="s">
        <v>164</v>
      </c>
      <c r="AB43" s="543"/>
      <c r="AC43" s="394" t="s">
        <v>156</v>
      </c>
      <c r="AD43" s="396"/>
      <c r="AE43" s="399"/>
      <c r="AG43" s="394"/>
      <c r="AH43" s="397" t="s">
        <v>163</v>
      </c>
      <c r="AI43" s="542" t="s">
        <v>164</v>
      </c>
      <c r="AJ43" s="543"/>
      <c r="AK43" s="394" t="s">
        <v>156</v>
      </c>
      <c r="AL43" s="396">
        <v>0</v>
      </c>
      <c r="AM43" s="395">
        <f>(AL43*0.4)+AL43</f>
        <v>0</v>
      </c>
    </row>
    <row r="44" spans="1:39" x14ac:dyDescent="0.25">
      <c r="A44" s="60"/>
      <c r="B44" s="61" t="s">
        <v>192</v>
      </c>
      <c r="C44" s="508">
        <v>0.125</v>
      </c>
      <c r="D44" s="509"/>
      <c r="E44" s="62">
        <v>175</v>
      </c>
      <c r="F44" s="65">
        <f>SUM(E44*A44)</f>
        <v>0</v>
      </c>
      <c r="G44" s="62" t="str">
        <f>IF(SUM(A44)&gt;0,SUM((A44*E44)-F44),"")</f>
        <v/>
      </c>
      <c r="I44" s="394"/>
      <c r="J44" s="392" t="s">
        <v>192</v>
      </c>
      <c r="K44" s="544" t="s">
        <v>364</v>
      </c>
      <c r="L44" s="528"/>
      <c r="M44" s="381">
        <v>500</v>
      </c>
      <c r="N44" s="402">
        <f>SUM(M44*I44)</f>
        <v>0</v>
      </c>
      <c r="O44" s="381" t="str">
        <f>IF(SUM(I44)&gt;0,SUM((I44*M44)-N44),"")</f>
        <v/>
      </c>
      <c r="Q44" s="394"/>
      <c r="R44" s="392" t="s">
        <v>165</v>
      </c>
      <c r="S44" s="527"/>
      <c r="T44" s="528"/>
      <c r="U44" s="381">
        <v>200</v>
      </c>
      <c r="V44" s="407">
        <f>SUM(Q44*U44)</f>
        <v>0</v>
      </c>
      <c r="W44" s="388"/>
      <c r="Y44" s="394"/>
      <c r="Z44" s="392" t="s">
        <v>165</v>
      </c>
      <c r="AA44" s="527"/>
      <c r="AB44" s="528"/>
      <c r="AC44" s="381">
        <v>115</v>
      </c>
      <c r="AD44" s="389"/>
      <c r="AE44" s="402" t="str">
        <f>IF(SUM(Y44)&gt;0,SUM((Y44*AC44)-AD44),"")</f>
        <v/>
      </c>
      <c r="AG44" s="394"/>
      <c r="AH44" s="392" t="s">
        <v>165</v>
      </c>
      <c r="AI44" s="527"/>
      <c r="AJ44" s="528"/>
      <c r="AK44" s="381">
        <v>100</v>
      </c>
      <c r="AL44" s="407">
        <f>SUM(AG44*AK44)</f>
        <v>0</v>
      </c>
      <c r="AM44" s="388"/>
    </row>
    <row r="45" spans="1:39" ht="15" customHeight="1" x14ac:dyDescent="0.25">
      <c r="A45" s="60"/>
      <c r="B45" s="61" t="s">
        <v>166</v>
      </c>
      <c r="C45" s="508"/>
      <c r="D45" s="509"/>
      <c r="E45" s="62">
        <v>30</v>
      </c>
      <c r="F45" s="62"/>
      <c r="G45" s="62" t="str">
        <f>IF(SUM(A45)&gt;0,SUM((A45*E45)-F45),"")</f>
        <v/>
      </c>
      <c r="I45" s="394">
        <v>1</v>
      </c>
      <c r="J45" s="392" t="s">
        <v>166</v>
      </c>
      <c r="K45" s="527"/>
      <c r="L45" s="528"/>
      <c r="M45" s="381">
        <v>40</v>
      </c>
      <c r="N45" s="381"/>
      <c r="O45" s="381">
        <f>IF(SUM(I45)&gt;0,SUM((I45*M45)-N45),"")</f>
        <v>40</v>
      </c>
      <c r="Q45" s="394"/>
      <c r="R45" s="392" t="s">
        <v>166</v>
      </c>
      <c r="S45" s="527"/>
      <c r="T45" s="528"/>
      <c r="U45" s="381">
        <v>35</v>
      </c>
      <c r="V45" s="389">
        <f>SUM(Q45*10)</f>
        <v>0</v>
      </c>
      <c r="W45" s="388">
        <f>SUM(Q45*U45)</f>
        <v>0</v>
      </c>
      <c r="Y45" s="394"/>
      <c r="Z45" s="392" t="s">
        <v>166</v>
      </c>
      <c r="AA45" s="527"/>
      <c r="AB45" s="528"/>
      <c r="AC45" s="381">
        <v>40</v>
      </c>
      <c r="AD45" s="389"/>
      <c r="AE45" s="388" t="str">
        <f>IF(SUM(Y45)&gt;0,SUM((Y45*AC45)-AD45),"")</f>
        <v/>
      </c>
      <c r="AG45" s="394"/>
      <c r="AH45" s="392" t="s">
        <v>166</v>
      </c>
      <c r="AI45" s="527"/>
      <c r="AJ45" s="528"/>
      <c r="AK45" s="381">
        <v>30</v>
      </c>
      <c r="AL45" s="389">
        <f>SUM(AG45*10)</f>
        <v>0</v>
      </c>
      <c r="AM45" s="388">
        <f>SUM(AG45*AK45)</f>
        <v>0</v>
      </c>
    </row>
    <row r="46" spans="1:39" x14ac:dyDescent="0.25">
      <c r="A46" s="60"/>
      <c r="B46" s="68" t="s">
        <v>167</v>
      </c>
      <c r="C46" s="514"/>
      <c r="D46" s="515"/>
      <c r="E46" s="62"/>
      <c r="F46" s="62"/>
      <c r="G46" s="62">
        <f>SUM(G20:G45)</f>
        <v>0</v>
      </c>
      <c r="I46" s="394"/>
      <c r="J46" s="406" t="s">
        <v>167</v>
      </c>
      <c r="K46" s="531"/>
      <c r="L46" s="532"/>
      <c r="M46" s="381"/>
      <c r="N46" s="381"/>
      <c r="O46" s="381">
        <f>SUM(O20:O45)</f>
        <v>1856</v>
      </c>
      <c r="Q46" s="394"/>
      <c r="R46" s="406" t="s">
        <v>167</v>
      </c>
      <c r="S46" s="531"/>
      <c r="T46" s="532"/>
      <c r="U46" s="381"/>
      <c r="V46" s="389"/>
      <c r="W46" s="388">
        <f>SUM(W20:W45)</f>
        <v>0</v>
      </c>
      <c r="Y46" s="394"/>
      <c r="Z46" s="406" t="s">
        <v>167</v>
      </c>
      <c r="AA46" s="531"/>
      <c r="AB46" s="532"/>
      <c r="AC46" s="381"/>
      <c r="AD46" s="389"/>
      <c r="AE46" s="388">
        <f>SUM(AE20:AE43,AE45)</f>
        <v>0</v>
      </c>
      <c r="AG46" s="394"/>
      <c r="AH46" s="406" t="s">
        <v>167</v>
      </c>
      <c r="AI46" s="531"/>
      <c r="AJ46" s="532"/>
      <c r="AK46" s="381"/>
      <c r="AL46" s="389"/>
      <c r="AM46" s="388">
        <f>SUM(AM20:AM45)</f>
        <v>0</v>
      </c>
    </row>
    <row r="47" spans="1:39" x14ac:dyDescent="0.25">
      <c r="A47" s="60"/>
      <c r="B47" s="68"/>
      <c r="C47" s="69"/>
      <c r="D47" s="70"/>
      <c r="E47" s="62"/>
      <c r="F47" s="62"/>
      <c r="G47" s="62"/>
      <c r="I47" s="394"/>
      <c r="J47" s="406"/>
      <c r="K47" s="391"/>
      <c r="L47" s="390"/>
      <c r="M47" s="381"/>
      <c r="N47" s="381"/>
      <c r="O47" s="381"/>
      <c r="Q47" s="394"/>
      <c r="R47" s="406"/>
      <c r="S47" s="391"/>
      <c r="T47" s="390"/>
      <c r="U47" s="381"/>
      <c r="V47" s="389"/>
      <c r="W47" s="381"/>
      <c r="Y47" s="394"/>
      <c r="Z47" s="406"/>
      <c r="AA47" s="391"/>
      <c r="AB47" s="390"/>
      <c r="AC47" s="381"/>
      <c r="AD47" s="389"/>
      <c r="AE47" s="381"/>
      <c r="AG47" s="394"/>
      <c r="AH47" s="406"/>
      <c r="AI47" s="391"/>
      <c r="AJ47" s="390"/>
      <c r="AK47" s="381"/>
      <c r="AL47" s="389"/>
      <c r="AM47" s="381"/>
    </row>
    <row r="48" spans="1:39" x14ac:dyDescent="0.25">
      <c r="A48" s="66"/>
      <c r="B48" s="71" t="s">
        <v>168</v>
      </c>
      <c r="C48" s="516" t="s">
        <v>169</v>
      </c>
      <c r="D48" s="517"/>
      <c r="E48" s="66"/>
      <c r="F48" s="66">
        <f>SUM(F41:F44)</f>
        <v>0</v>
      </c>
      <c r="G48" s="65">
        <f>SUM(F44,F42,F41)*0.07</f>
        <v>0</v>
      </c>
      <c r="I48" s="404"/>
      <c r="J48" s="405" t="s">
        <v>168</v>
      </c>
      <c r="K48" s="549" t="s">
        <v>169</v>
      </c>
      <c r="L48" s="550"/>
      <c r="M48" s="404"/>
      <c r="N48" s="404">
        <f>SUM(N41:N44)</f>
        <v>88</v>
      </c>
      <c r="O48" s="402">
        <f>SUM(N44,N42,N41)*0.07</f>
        <v>6.16</v>
      </c>
      <c r="Q48" s="404"/>
      <c r="R48" s="405" t="s">
        <v>168</v>
      </c>
      <c r="S48" s="549" t="s">
        <v>169</v>
      </c>
      <c r="T48" s="550"/>
      <c r="U48" s="404"/>
      <c r="V48" s="403"/>
      <c r="W48" s="402">
        <f>SUM(V40,V41,V42,V43,V44)*0.07</f>
        <v>0</v>
      </c>
      <c r="Y48" s="404"/>
      <c r="Z48" s="405" t="s">
        <v>168</v>
      </c>
      <c r="AA48" s="549" t="s">
        <v>169</v>
      </c>
      <c r="AB48" s="550"/>
      <c r="AC48" s="404"/>
      <c r="AD48" s="403"/>
      <c r="AE48" s="402">
        <f>SUM(AD40,AD41,AD42,AD43,AE44)*0.07</f>
        <v>0</v>
      </c>
      <c r="AG48" s="404"/>
      <c r="AH48" s="405" t="s">
        <v>168</v>
      </c>
      <c r="AI48" s="549" t="s">
        <v>169</v>
      </c>
      <c r="AJ48" s="550"/>
      <c r="AK48" s="404"/>
      <c r="AL48" s="403"/>
      <c r="AM48" s="402">
        <f>SUM(AL40,AL41,AL42,AL43,AL44)*0.07</f>
        <v>0</v>
      </c>
    </row>
    <row r="49" spans="1:39" x14ac:dyDescent="0.25">
      <c r="A49" s="67"/>
      <c r="B49" s="73"/>
      <c r="C49" s="518"/>
      <c r="D49" s="519"/>
      <c r="E49" s="67"/>
      <c r="F49" s="67"/>
      <c r="G49" s="62"/>
      <c r="I49" s="399"/>
      <c r="J49" s="400"/>
      <c r="K49" s="533"/>
      <c r="L49" s="534"/>
      <c r="M49" s="399"/>
      <c r="N49" s="399"/>
      <c r="O49" s="381"/>
      <c r="Q49" s="399"/>
      <c r="R49" s="400" t="s">
        <v>170</v>
      </c>
      <c r="S49" s="533"/>
      <c r="T49" s="534"/>
      <c r="U49" s="399">
        <v>75</v>
      </c>
      <c r="V49" s="398"/>
      <c r="W49" s="381">
        <f>(Q49*U49)</f>
        <v>0</v>
      </c>
      <c r="Y49" s="394"/>
      <c r="Z49" s="397" t="s">
        <v>170</v>
      </c>
      <c r="AA49" s="542"/>
      <c r="AB49" s="543"/>
      <c r="AC49" s="394">
        <v>75</v>
      </c>
      <c r="AD49" s="396"/>
      <c r="AE49" s="401">
        <f>(Y49*AC49)</f>
        <v>0</v>
      </c>
      <c r="AG49" s="399"/>
      <c r="AH49" s="400" t="s">
        <v>170</v>
      </c>
      <c r="AI49" s="533"/>
      <c r="AJ49" s="534"/>
      <c r="AK49" s="399">
        <v>75</v>
      </c>
      <c r="AL49" s="398"/>
      <c r="AM49" s="381">
        <f>(AG49*AK49)</f>
        <v>0</v>
      </c>
    </row>
    <row r="50" spans="1:39" ht="15" customHeight="1" x14ac:dyDescent="0.25">
      <c r="A50" s="60"/>
      <c r="B50" s="56" t="s">
        <v>171</v>
      </c>
      <c r="C50" s="520" t="s">
        <v>172</v>
      </c>
      <c r="D50" s="521"/>
      <c r="E50" s="60"/>
      <c r="F50" s="60"/>
      <c r="G50" s="60"/>
      <c r="I50" s="394"/>
      <c r="J50" s="397" t="s">
        <v>171</v>
      </c>
      <c r="K50" s="551" t="s">
        <v>172</v>
      </c>
      <c r="L50" s="552"/>
      <c r="M50" s="394"/>
      <c r="N50" s="394"/>
      <c r="O50" s="394"/>
      <c r="Q50" s="394"/>
      <c r="R50" s="397" t="s">
        <v>171</v>
      </c>
      <c r="S50" s="551" t="s">
        <v>172</v>
      </c>
      <c r="T50" s="552"/>
      <c r="U50" s="394"/>
      <c r="V50" s="396"/>
      <c r="W50" s="395"/>
      <c r="Y50" s="394"/>
      <c r="Z50" s="397" t="s">
        <v>171</v>
      </c>
      <c r="AA50" s="551" t="s">
        <v>172</v>
      </c>
      <c r="AB50" s="552"/>
      <c r="AC50" s="394"/>
      <c r="AD50" s="396"/>
      <c r="AE50" s="395"/>
      <c r="AG50" s="394"/>
      <c r="AH50" s="397" t="s">
        <v>171</v>
      </c>
      <c r="AI50" s="551" t="s">
        <v>172</v>
      </c>
      <c r="AJ50" s="552"/>
      <c r="AK50" s="394"/>
      <c r="AL50" s="396"/>
      <c r="AM50" s="395"/>
    </row>
    <row r="51" spans="1:39" x14ac:dyDescent="0.25">
      <c r="A51" s="60"/>
      <c r="B51" s="61" t="s">
        <v>171</v>
      </c>
      <c r="C51" s="508" t="s">
        <v>173</v>
      </c>
      <c r="D51" s="509"/>
      <c r="E51" s="62">
        <v>90</v>
      </c>
      <c r="F51" s="62"/>
      <c r="G51" s="62">
        <f>IF(SUM(A51)&gt;0,SUM((A51*E51)-F51),)</f>
        <v>0</v>
      </c>
      <c r="I51" s="394"/>
      <c r="J51" s="392" t="s">
        <v>171</v>
      </c>
      <c r="K51" s="527" t="s">
        <v>173</v>
      </c>
      <c r="L51" s="528"/>
      <c r="M51" s="381">
        <v>115</v>
      </c>
      <c r="N51" s="381"/>
      <c r="O51" s="381">
        <f>IF(SUM(I51)&gt;0,SUM((I51*M51)-N51),)</f>
        <v>0</v>
      </c>
      <c r="Q51" s="394"/>
      <c r="R51" s="392" t="s">
        <v>171</v>
      </c>
      <c r="S51" s="527" t="s">
        <v>173</v>
      </c>
      <c r="T51" s="528"/>
      <c r="U51" s="381">
        <v>115</v>
      </c>
      <c r="V51" s="389"/>
      <c r="W51" s="388">
        <f>IF(SUM(Q51)&gt;0,SUM((Q51*U51)-V51),)</f>
        <v>0</v>
      </c>
      <c r="Y51" s="394"/>
      <c r="Z51" s="392" t="s">
        <v>171</v>
      </c>
      <c r="AA51" s="527" t="s">
        <v>173</v>
      </c>
      <c r="AB51" s="528"/>
      <c r="AC51" s="381">
        <v>115</v>
      </c>
      <c r="AD51" s="389"/>
      <c r="AE51" s="388">
        <f>IF(SUM(Y51)&gt;0,SUM((Y51*AC51)-AD51),)</f>
        <v>0</v>
      </c>
      <c r="AG51" s="394"/>
      <c r="AH51" s="392" t="s">
        <v>171</v>
      </c>
      <c r="AI51" s="527" t="s">
        <v>173</v>
      </c>
      <c r="AJ51" s="528"/>
      <c r="AK51" s="381">
        <v>115</v>
      </c>
      <c r="AL51" s="389"/>
      <c r="AM51" s="388">
        <f>IF(SUM(AG51)&gt;0,SUM((AG51*AK51)-AL51),)</f>
        <v>0</v>
      </c>
    </row>
    <row r="52" spans="1:39" ht="15" customHeight="1" x14ac:dyDescent="0.25">
      <c r="A52" s="60"/>
      <c r="B52" s="56" t="s">
        <v>174</v>
      </c>
      <c r="C52" s="520" t="s">
        <v>172</v>
      </c>
      <c r="D52" s="521"/>
      <c r="E52" s="60"/>
      <c r="F52" s="60"/>
      <c r="G52" s="60"/>
      <c r="I52" s="394"/>
      <c r="J52" s="397" t="s">
        <v>174</v>
      </c>
      <c r="K52" s="551" t="s">
        <v>172</v>
      </c>
      <c r="L52" s="552"/>
      <c r="M52" s="394"/>
      <c r="N52" s="394"/>
      <c r="O52" s="394"/>
      <c r="Q52" s="394"/>
      <c r="R52" s="397" t="s">
        <v>174</v>
      </c>
      <c r="S52" s="551" t="s">
        <v>172</v>
      </c>
      <c r="T52" s="552"/>
      <c r="U52" s="394"/>
      <c r="V52" s="396"/>
      <c r="W52" s="395"/>
      <c r="Y52" s="394"/>
      <c r="Z52" s="397" t="s">
        <v>174</v>
      </c>
      <c r="AA52" s="551" t="s">
        <v>172</v>
      </c>
      <c r="AB52" s="552"/>
      <c r="AC52" s="394"/>
      <c r="AD52" s="396"/>
      <c r="AE52" s="395"/>
      <c r="AG52" s="394"/>
      <c r="AH52" s="397" t="s">
        <v>174</v>
      </c>
      <c r="AI52" s="551" t="s">
        <v>172</v>
      </c>
      <c r="AJ52" s="552"/>
      <c r="AK52" s="394"/>
      <c r="AL52" s="396"/>
      <c r="AM52" s="395"/>
    </row>
    <row r="53" spans="1:39" x14ac:dyDescent="0.25">
      <c r="A53" s="60"/>
      <c r="B53" s="61" t="s">
        <v>175</v>
      </c>
      <c r="C53" s="514"/>
      <c r="D53" s="515"/>
      <c r="E53" s="62">
        <v>70</v>
      </c>
      <c r="F53" s="62"/>
      <c r="G53" s="62">
        <f>IF(SUM(A53)&gt;0,SUM((A53*E53)-F53),)</f>
        <v>0</v>
      </c>
      <c r="I53" s="394"/>
      <c r="J53" s="392" t="s">
        <v>175</v>
      </c>
      <c r="K53" s="531"/>
      <c r="L53" s="532"/>
      <c r="M53" s="381">
        <v>75</v>
      </c>
      <c r="N53" s="381"/>
      <c r="O53" s="381">
        <f>IF(SUM(I53)&gt;0,SUM((I53*M53)-N53),)</f>
        <v>0</v>
      </c>
      <c r="Q53" s="394"/>
      <c r="R53" s="392" t="s">
        <v>175</v>
      </c>
      <c r="S53" s="531"/>
      <c r="T53" s="532"/>
      <c r="U53" s="381">
        <v>75</v>
      </c>
      <c r="V53" s="389"/>
      <c r="W53" s="388" t="str">
        <f>IF(SUM(Q53)&gt;0,SUM((Q53*U53)-V53),"")</f>
        <v/>
      </c>
      <c r="Y53" s="394"/>
      <c r="Z53" s="392" t="s">
        <v>175</v>
      </c>
      <c r="AA53" s="531"/>
      <c r="AB53" s="532"/>
      <c r="AC53" s="381">
        <v>75</v>
      </c>
      <c r="AD53" s="389"/>
      <c r="AE53" s="388">
        <f>IF(SUM(Y53)&gt;0,SUM((Y53*AC53)-AD53),)</f>
        <v>0</v>
      </c>
      <c r="AG53" s="394"/>
      <c r="AH53" s="392" t="s">
        <v>175</v>
      </c>
      <c r="AI53" s="531"/>
      <c r="AJ53" s="532"/>
      <c r="AK53" s="381">
        <v>75</v>
      </c>
      <c r="AL53" s="389"/>
      <c r="AM53" s="388" t="str">
        <f>IF(SUM(AG53)&gt;0,SUM((AG53*AK53)-AL53),"")</f>
        <v/>
      </c>
    </row>
    <row r="54" spans="1:39" ht="15" customHeight="1" x14ac:dyDescent="0.25">
      <c r="A54" s="74"/>
      <c r="B54" s="61"/>
      <c r="C54" s="514"/>
      <c r="D54" s="515"/>
      <c r="E54" s="62"/>
      <c r="F54" s="62"/>
      <c r="G54" s="62"/>
      <c r="I54" s="393"/>
      <c r="J54" s="392"/>
      <c r="K54" s="531"/>
      <c r="L54" s="532"/>
      <c r="M54" s="381"/>
      <c r="N54" s="381"/>
      <c r="O54" s="381"/>
      <c r="Q54" s="393"/>
      <c r="R54" s="392"/>
      <c r="S54" s="531"/>
      <c r="T54" s="532"/>
      <c r="U54" s="381"/>
      <c r="V54" s="389"/>
      <c r="W54" s="388"/>
      <c r="Y54" s="393"/>
      <c r="Z54" s="392"/>
      <c r="AA54" s="531"/>
      <c r="AB54" s="532"/>
      <c r="AC54" s="381"/>
      <c r="AD54" s="389"/>
      <c r="AE54" s="388"/>
      <c r="AG54" s="393"/>
      <c r="AH54" s="392"/>
      <c r="AI54" s="531"/>
      <c r="AJ54" s="532"/>
      <c r="AK54" s="381"/>
      <c r="AL54" s="389"/>
      <c r="AM54" s="388"/>
    </row>
    <row r="55" spans="1:39" x14ac:dyDescent="0.25">
      <c r="A55" s="75"/>
      <c r="B55" s="44"/>
      <c r="C55" s="44"/>
      <c r="D55" s="44"/>
      <c r="E55" s="522" t="s">
        <v>176</v>
      </c>
      <c r="F55" s="523"/>
      <c r="G55" s="76">
        <f>SUM(G46+G48+G50+G51+G52+G53)</f>
        <v>0</v>
      </c>
      <c r="I55" s="380"/>
      <c r="J55" s="387"/>
      <c r="K55" s="387"/>
      <c r="L55" s="387"/>
      <c r="M55" s="559" t="s">
        <v>176</v>
      </c>
      <c r="N55" s="560"/>
      <c r="O55" s="386">
        <f>SUM(O46+O48+O50+O51+O52+O53)</f>
        <v>1862.16</v>
      </c>
      <c r="Q55" s="380"/>
      <c r="R55" s="387"/>
      <c r="S55" s="387"/>
      <c r="T55" s="387"/>
      <c r="U55" s="559" t="s">
        <v>176</v>
      </c>
      <c r="V55" s="560"/>
      <c r="W55" s="386">
        <f>SUM(W48:W53,W45,W43,W42,W41,W40,W39,W38,W37,W36,W35,W34,W33,W32,W31,W20:W30)</f>
        <v>0</v>
      </c>
      <c r="Y55" s="380"/>
      <c r="Z55" s="387"/>
      <c r="AA55" s="387"/>
      <c r="AB55" s="387"/>
      <c r="AC55" s="559" t="s">
        <v>176</v>
      </c>
      <c r="AD55" s="560"/>
      <c r="AE55" s="386">
        <f>SUM(AE48,AE49,AE50,AE51,AE52,AE53,AE46)</f>
        <v>0</v>
      </c>
      <c r="AG55" s="380"/>
      <c r="AH55" s="387"/>
      <c r="AI55" s="387"/>
      <c r="AJ55" s="387"/>
      <c r="AK55" s="559" t="s">
        <v>176</v>
      </c>
      <c r="AL55" s="560"/>
      <c r="AM55" s="386">
        <f>SUM(AM48:AM53,AM45,AM43,AM42,AM41,AM40,AM39,AM38,AM37,AM36,AM35,AM34,AM33,AM32,AM31,AM20:AM30)</f>
        <v>0</v>
      </c>
    </row>
    <row r="56" spans="1:39" x14ac:dyDescent="0.25">
      <c r="A56" s="75"/>
      <c r="B56" s="77"/>
      <c r="C56" s="77"/>
      <c r="D56" s="535" t="s">
        <v>177</v>
      </c>
      <c r="E56" s="535"/>
      <c r="F56" s="78"/>
      <c r="G56" s="79">
        <f>G55*F56</f>
        <v>0</v>
      </c>
      <c r="I56" s="380"/>
      <c r="J56" s="385"/>
      <c r="K56" s="385"/>
      <c r="L56" s="561" t="s">
        <v>177</v>
      </c>
      <c r="M56" s="561"/>
      <c r="N56" s="384"/>
      <c r="O56" s="383">
        <f>O55*N56</f>
        <v>0</v>
      </c>
      <c r="Q56" s="380"/>
      <c r="R56" s="385"/>
      <c r="S56" s="385"/>
      <c r="T56" s="561" t="s">
        <v>177</v>
      </c>
      <c r="U56" s="561"/>
      <c r="V56" s="384"/>
      <c r="W56" s="383">
        <f>W55*V56</f>
        <v>0</v>
      </c>
      <c r="Y56" s="380"/>
      <c r="Z56" s="385"/>
      <c r="AA56" s="385"/>
      <c r="AB56" s="561" t="s">
        <v>177</v>
      </c>
      <c r="AC56" s="561"/>
      <c r="AD56" s="384"/>
      <c r="AE56" s="383">
        <f>AE55*AD56</f>
        <v>0</v>
      </c>
      <c r="AG56" s="380"/>
      <c r="AH56" s="385"/>
      <c r="AI56" s="385"/>
      <c r="AJ56" s="561" t="s">
        <v>177</v>
      </c>
      <c r="AK56" s="561"/>
      <c r="AL56" s="384"/>
      <c r="AM56" s="383">
        <f>AM55*AL56</f>
        <v>0</v>
      </c>
    </row>
    <row r="57" spans="1:39" x14ac:dyDescent="0.25">
      <c r="A57" s="75"/>
      <c r="B57" s="47"/>
      <c r="C57" s="47"/>
      <c r="D57" s="47"/>
      <c r="E57" s="47"/>
      <c r="F57" s="80" t="s">
        <v>178</v>
      </c>
      <c r="G57" s="62">
        <f>G55-G56</f>
        <v>0</v>
      </c>
      <c r="I57" s="380"/>
      <c r="J57" s="379"/>
      <c r="K57" s="379"/>
      <c r="L57" s="379"/>
      <c r="M57" s="379"/>
      <c r="N57" s="378" t="s">
        <v>178</v>
      </c>
      <c r="O57" s="381">
        <f>O55-O56</f>
        <v>1862.16</v>
      </c>
      <c r="Q57" s="380"/>
      <c r="R57" s="379"/>
      <c r="S57" s="379"/>
      <c r="T57" s="379"/>
      <c r="U57" s="379"/>
      <c r="V57" s="378" t="s">
        <v>178</v>
      </c>
      <c r="W57" s="381">
        <f>W55-W56</f>
        <v>0</v>
      </c>
      <c r="Y57" s="380"/>
      <c r="Z57" s="379"/>
      <c r="AA57" s="379"/>
      <c r="AB57" s="379"/>
      <c r="AC57" s="379"/>
      <c r="AD57" s="378" t="s">
        <v>178</v>
      </c>
      <c r="AE57" s="381">
        <f>AE55-AE56</f>
        <v>0</v>
      </c>
      <c r="AG57" s="380"/>
      <c r="AH57" s="379"/>
      <c r="AI57" s="379"/>
      <c r="AJ57" s="379"/>
      <c r="AK57" s="379"/>
      <c r="AL57" s="378" t="s">
        <v>178</v>
      </c>
      <c r="AM57" s="381">
        <f>AM55-AM56</f>
        <v>0</v>
      </c>
    </row>
    <row r="58" spans="1:39" x14ac:dyDescent="0.25">
      <c r="A58" s="75"/>
      <c r="B58" s="47"/>
      <c r="C58" s="47"/>
      <c r="D58" s="47"/>
      <c r="E58" s="47"/>
      <c r="F58" s="81" t="s">
        <v>27</v>
      </c>
      <c r="G58" s="62">
        <f>G57*0.05</f>
        <v>0</v>
      </c>
      <c r="I58" s="380"/>
      <c r="J58" s="379"/>
      <c r="K58" s="379"/>
      <c r="L58" s="379"/>
      <c r="M58" s="379"/>
      <c r="N58" s="382" t="s">
        <v>27</v>
      </c>
      <c r="O58" s="381">
        <f>O57*0.05</f>
        <v>93.108000000000004</v>
      </c>
      <c r="Q58" s="380"/>
      <c r="R58" s="379"/>
      <c r="S58" s="379"/>
      <c r="T58" s="379"/>
      <c r="U58" s="379"/>
      <c r="V58" s="382" t="s">
        <v>27</v>
      </c>
      <c r="W58" s="381">
        <f>W57*0.05</f>
        <v>0</v>
      </c>
      <c r="Y58" s="380"/>
      <c r="Z58" s="379"/>
      <c r="AA58" s="379"/>
      <c r="AB58" s="379"/>
      <c r="AC58" s="379"/>
      <c r="AD58" s="382" t="s">
        <v>27</v>
      </c>
      <c r="AE58" s="381">
        <f>AE57*0.05</f>
        <v>0</v>
      </c>
      <c r="AG58" s="380"/>
      <c r="AH58" s="379"/>
      <c r="AI58" s="379"/>
      <c r="AJ58" s="379"/>
      <c r="AK58" s="379"/>
      <c r="AL58" s="382" t="s">
        <v>27</v>
      </c>
      <c r="AM58" s="381">
        <f>AM57*0.05</f>
        <v>0</v>
      </c>
    </row>
    <row r="59" spans="1:39" x14ac:dyDescent="0.25">
      <c r="A59" s="75"/>
      <c r="B59" s="47"/>
      <c r="C59" s="47"/>
      <c r="D59" s="47"/>
      <c r="E59" s="47"/>
      <c r="F59" s="80" t="s">
        <v>179</v>
      </c>
      <c r="G59" s="82">
        <f>G57+G58</f>
        <v>0</v>
      </c>
      <c r="I59" s="380"/>
      <c r="J59" s="379"/>
      <c r="K59" s="379"/>
      <c r="L59" s="379"/>
      <c r="M59" s="379"/>
      <c r="N59" s="378" t="s">
        <v>179</v>
      </c>
      <c r="O59" s="377">
        <f>O57+O58</f>
        <v>1955.268</v>
      </c>
      <c r="Q59" s="380"/>
      <c r="R59" s="379"/>
      <c r="S59" s="379"/>
      <c r="T59" s="379"/>
      <c r="U59" s="379"/>
      <c r="V59" s="378" t="s">
        <v>179</v>
      </c>
      <c r="W59" s="377">
        <f>W57+W58</f>
        <v>0</v>
      </c>
      <c r="Y59" s="380"/>
      <c r="Z59" s="379"/>
      <c r="AA59" s="379"/>
      <c r="AB59" s="379"/>
      <c r="AC59" s="379"/>
      <c r="AD59" s="378" t="s">
        <v>179</v>
      </c>
      <c r="AE59" s="377">
        <f>AE57+AE58</f>
        <v>0</v>
      </c>
      <c r="AG59" s="380"/>
      <c r="AH59" s="379"/>
      <c r="AI59" s="379"/>
      <c r="AJ59" s="379"/>
      <c r="AK59" s="379"/>
      <c r="AL59" s="378" t="s">
        <v>179</v>
      </c>
      <c r="AM59" s="377">
        <f>AM57+AM58</f>
        <v>0</v>
      </c>
    </row>
  </sheetData>
  <mergeCells count="315">
    <mergeCell ref="AI46:AJ46"/>
    <mergeCell ref="AI48:AJ48"/>
    <mergeCell ref="AI49:AJ49"/>
    <mergeCell ref="AJ56:AK56"/>
    <mergeCell ref="AI50:AJ50"/>
    <mergeCell ref="AI51:AJ51"/>
    <mergeCell ref="AI52:AJ52"/>
    <mergeCell ref="AI53:AJ53"/>
    <mergeCell ref="AI54:AJ54"/>
    <mergeCell ref="AK55:AL55"/>
    <mergeCell ref="AI37:AJ37"/>
    <mergeCell ref="AI38:AJ38"/>
    <mergeCell ref="AI39:AJ39"/>
    <mergeCell ref="AI40:AJ40"/>
    <mergeCell ref="AI41:AJ41"/>
    <mergeCell ref="AI42:AJ42"/>
    <mergeCell ref="AI43:AJ43"/>
    <mergeCell ref="AI44:AJ44"/>
    <mergeCell ref="AI45:AJ45"/>
    <mergeCell ref="AI28:AJ28"/>
    <mergeCell ref="AI29:AJ29"/>
    <mergeCell ref="AI30:AJ30"/>
    <mergeCell ref="AI31:AJ31"/>
    <mergeCell ref="AI32:AJ32"/>
    <mergeCell ref="AI33:AJ33"/>
    <mergeCell ref="AI34:AJ34"/>
    <mergeCell ref="AI35:AJ35"/>
    <mergeCell ref="AI36:AJ36"/>
    <mergeCell ref="AI19:AJ19"/>
    <mergeCell ref="AI20:AJ20"/>
    <mergeCell ref="AI21:AJ21"/>
    <mergeCell ref="AI22:AJ22"/>
    <mergeCell ref="AI23:AJ23"/>
    <mergeCell ref="AI24:AJ24"/>
    <mergeCell ref="AI25:AJ25"/>
    <mergeCell ref="AI26:AJ26"/>
    <mergeCell ref="AI27:AJ27"/>
    <mergeCell ref="AG9:AL9"/>
    <mergeCell ref="AH10:AI10"/>
    <mergeCell ref="AK10:AL10"/>
    <mergeCell ref="AK11:AL11"/>
    <mergeCell ref="AH12:AI12"/>
    <mergeCell ref="AK12:AL12"/>
    <mergeCell ref="AH13:AI13"/>
    <mergeCell ref="AK13:AL13"/>
    <mergeCell ref="AH14:AI14"/>
    <mergeCell ref="AK14:AL14"/>
    <mergeCell ref="AA49:AB49"/>
    <mergeCell ref="AA50:AB50"/>
    <mergeCell ref="AA51:AB51"/>
    <mergeCell ref="AA52:AB52"/>
    <mergeCell ref="AA53:AB53"/>
    <mergeCell ref="AA54:AB54"/>
    <mergeCell ref="AC55:AD55"/>
    <mergeCell ref="AB56:AC56"/>
    <mergeCell ref="AG3:AH3"/>
    <mergeCell ref="AG7:AH7"/>
    <mergeCell ref="AH11:AI11"/>
    <mergeCell ref="AG15:AL15"/>
    <mergeCell ref="AG18:AM18"/>
    <mergeCell ref="AI3:AL3"/>
    <mergeCell ref="AG4:AH4"/>
    <mergeCell ref="AI4:AL4"/>
    <mergeCell ref="AG5:AH5"/>
    <mergeCell ref="AK5:AL5"/>
    <mergeCell ref="AG6:AH6"/>
    <mergeCell ref="AK6:AL6"/>
    <mergeCell ref="AI7:AJ7"/>
    <mergeCell ref="AK7:AL7"/>
    <mergeCell ref="AG8:AH8"/>
    <mergeCell ref="AI8:AJ8"/>
    <mergeCell ref="AA39:AB39"/>
    <mergeCell ref="AA40:AB40"/>
    <mergeCell ref="AA41:AB41"/>
    <mergeCell ref="AA42:AB42"/>
    <mergeCell ref="AA43:AB43"/>
    <mergeCell ref="AA44:AB44"/>
    <mergeCell ref="AA45:AB45"/>
    <mergeCell ref="AA46:AB46"/>
    <mergeCell ref="AA48:AB48"/>
    <mergeCell ref="AA30:AB30"/>
    <mergeCell ref="AA31:AB31"/>
    <mergeCell ref="AA32:AB32"/>
    <mergeCell ref="AA33:AB33"/>
    <mergeCell ref="AA34:AB34"/>
    <mergeCell ref="AA35:AB35"/>
    <mergeCell ref="AA36:AB36"/>
    <mergeCell ref="AA37:AB37"/>
    <mergeCell ref="AA38:AB38"/>
    <mergeCell ref="AA21:AB21"/>
    <mergeCell ref="AA22:AB22"/>
    <mergeCell ref="AA23:AB23"/>
    <mergeCell ref="AA24:AB24"/>
    <mergeCell ref="AA25:AB25"/>
    <mergeCell ref="AA26:AB26"/>
    <mergeCell ref="AA27:AB27"/>
    <mergeCell ref="AA28:AB28"/>
    <mergeCell ref="AA29:AB29"/>
    <mergeCell ref="AC12:AD12"/>
    <mergeCell ref="Z13:AA13"/>
    <mergeCell ref="AC13:AD13"/>
    <mergeCell ref="Z14:AA14"/>
    <mergeCell ref="AC14:AD14"/>
    <mergeCell ref="Y15:AD15"/>
    <mergeCell ref="Y18:AE18"/>
    <mergeCell ref="AA19:AB19"/>
    <mergeCell ref="AA20:AB20"/>
    <mergeCell ref="S52:T52"/>
    <mergeCell ref="S53:T53"/>
    <mergeCell ref="S54:T54"/>
    <mergeCell ref="U55:V55"/>
    <mergeCell ref="T56:U56"/>
    <mergeCell ref="Y3:Z3"/>
    <mergeCell ref="AA3:AD3"/>
    <mergeCell ref="Y4:Z4"/>
    <mergeCell ref="AA4:AD4"/>
    <mergeCell ref="Y5:Z5"/>
    <mergeCell ref="AC5:AD5"/>
    <mergeCell ref="Y6:Z6"/>
    <mergeCell ref="AC6:AD6"/>
    <mergeCell ref="Y7:Z7"/>
    <mergeCell ref="AA7:AB7"/>
    <mergeCell ref="AC7:AD7"/>
    <mergeCell ref="Y8:Z8"/>
    <mergeCell ref="AA8:AB8"/>
    <mergeCell ref="Y9:AD9"/>
    <mergeCell ref="Z10:AA10"/>
    <mergeCell ref="AC10:AD10"/>
    <mergeCell ref="Z11:AA11"/>
    <mergeCell ref="AC11:AD11"/>
    <mergeCell ref="Z12:AA12"/>
    <mergeCell ref="S42:T42"/>
    <mergeCell ref="S43:T43"/>
    <mergeCell ref="S44:T44"/>
    <mergeCell ref="S45:T45"/>
    <mergeCell ref="S46:T46"/>
    <mergeCell ref="S48:T48"/>
    <mergeCell ref="S49:T49"/>
    <mergeCell ref="S50:T50"/>
    <mergeCell ref="S51:T51"/>
    <mergeCell ref="S33:T33"/>
    <mergeCell ref="S34:T34"/>
    <mergeCell ref="S35:T35"/>
    <mergeCell ref="S36:T36"/>
    <mergeCell ref="S37:T37"/>
    <mergeCell ref="S38:T38"/>
    <mergeCell ref="S39:T39"/>
    <mergeCell ref="S40:T40"/>
    <mergeCell ref="S41:T41"/>
    <mergeCell ref="S24:T24"/>
    <mergeCell ref="S25:T25"/>
    <mergeCell ref="S26:T26"/>
    <mergeCell ref="S27:T27"/>
    <mergeCell ref="S28:T28"/>
    <mergeCell ref="S29:T29"/>
    <mergeCell ref="S30:T30"/>
    <mergeCell ref="S31:T31"/>
    <mergeCell ref="S32:T32"/>
    <mergeCell ref="R14:S14"/>
    <mergeCell ref="U14:V14"/>
    <mergeCell ref="Q15:V15"/>
    <mergeCell ref="Q18:W18"/>
    <mergeCell ref="S19:T19"/>
    <mergeCell ref="S20:T20"/>
    <mergeCell ref="S21:T21"/>
    <mergeCell ref="S22:T22"/>
    <mergeCell ref="S23:T23"/>
    <mergeCell ref="M55:N55"/>
    <mergeCell ref="L56:M56"/>
    <mergeCell ref="Q3:R3"/>
    <mergeCell ref="S3:V3"/>
    <mergeCell ref="Q4:R4"/>
    <mergeCell ref="S4:V4"/>
    <mergeCell ref="Q5:R5"/>
    <mergeCell ref="U5:V5"/>
    <mergeCell ref="Q6:R6"/>
    <mergeCell ref="U6:V6"/>
    <mergeCell ref="Q7:R7"/>
    <mergeCell ref="S7:T7"/>
    <mergeCell ref="U7:V7"/>
    <mergeCell ref="Q8:R8"/>
    <mergeCell ref="S8:T8"/>
    <mergeCell ref="Q9:V9"/>
    <mergeCell ref="R10:S10"/>
    <mergeCell ref="U10:V10"/>
    <mergeCell ref="R11:S11"/>
    <mergeCell ref="U11:V11"/>
    <mergeCell ref="R12:S12"/>
    <mergeCell ref="U12:V12"/>
    <mergeCell ref="R13:S13"/>
    <mergeCell ref="U13:V13"/>
    <mergeCell ref="K43:L43"/>
    <mergeCell ref="K44:L44"/>
    <mergeCell ref="K45:L45"/>
    <mergeCell ref="K46:L46"/>
    <mergeCell ref="K54:L54"/>
    <mergeCell ref="I3:J3"/>
    <mergeCell ref="K3:N3"/>
    <mergeCell ref="I4:J4"/>
    <mergeCell ref="K4:N4"/>
    <mergeCell ref="M5:N5"/>
    <mergeCell ref="K48:L48"/>
    <mergeCell ref="K50:L50"/>
    <mergeCell ref="K51:L51"/>
    <mergeCell ref="K52:L52"/>
    <mergeCell ref="M6:N6"/>
    <mergeCell ref="K7:L7"/>
    <mergeCell ref="K8:L8"/>
    <mergeCell ref="I9:N9"/>
    <mergeCell ref="J10:K10"/>
    <mergeCell ref="M10:N10"/>
    <mergeCell ref="D56:E56"/>
    <mergeCell ref="I5:J5"/>
    <mergeCell ref="I6:J6"/>
    <mergeCell ref="I7:J7"/>
    <mergeCell ref="M7:N7"/>
    <mergeCell ref="I8:J8"/>
    <mergeCell ref="K21:L21"/>
    <mergeCell ref="K22:L22"/>
    <mergeCell ref="I18:O18"/>
    <mergeCell ref="K19:L19"/>
    <mergeCell ref="K20:L20"/>
    <mergeCell ref="J13:K13"/>
    <mergeCell ref="M13:N13"/>
    <mergeCell ref="J14:K14"/>
    <mergeCell ref="M14:N14"/>
    <mergeCell ref="I15:N15"/>
    <mergeCell ref="K23:L23"/>
    <mergeCell ref="K24:L24"/>
    <mergeCell ref="K25:L25"/>
    <mergeCell ref="K26:L26"/>
    <mergeCell ref="K27:L27"/>
    <mergeCell ref="K28:L28"/>
    <mergeCell ref="K29:L29"/>
    <mergeCell ref="K30:L30"/>
    <mergeCell ref="C50:D50"/>
    <mergeCell ref="C51:D51"/>
    <mergeCell ref="C52:D52"/>
    <mergeCell ref="C53:D53"/>
    <mergeCell ref="C54:D54"/>
    <mergeCell ref="E55:F55"/>
    <mergeCell ref="J12:K12"/>
    <mergeCell ref="M12:N12"/>
    <mergeCell ref="J11:K11"/>
    <mergeCell ref="M11:N11"/>
    <mergeCell ref="K31:L31"/>
    <mergeCell ref="K32:L32"/>
    <mergeCell ref="K33:L33"/>
    <mergeCell ref="K34:L34"/>
    <mergeCell ref="K35:L35"/>
    <mergeCell ref="K36:L36"/>
    <mergeCell ref="K37:L37"/>
    <mergeCell ref="K38:L38"/>
    <mergeCell ref="K39:L39"/>
    <mergeCell ref="K40:L40"/>
    <mergeCell ref="K53:L53"/>
    <mergeCell ref="K49:L49"/>
    <mergeCell ref="K41:L41"/>
    <mergeCell ref="K42:L42"/>
    <mergeCell ref="C40:D40"/>
    <mergeCell ref="C41:D41"/>
    <mergeCell ref="C42:D42"/>
    <mergeCell ref="C43:D43"/>
    <mergeCell ref="C44:D44"/>
    <mergeCell ref="C45:D45"/>
    <mergeCell ref="C46:D46"/>
    <mergeCell ref="C48:D48"/>
    <mergeCell ref="C49:D49"/>
    <mergeCell ref="C31:D31"/>
    <mergeCell ref="C32:D32"/>
    <mergeCell ref="C33:D33"/>
    <mergeCell ref="C34:D34"/>
    <mergeCell ref="C35:D35"/>
    <mergeCell ref="C36:D36"/>
    <mergeCell ref="C37:D37"/>
    <mergeCell ref="C38:D38"/>
    <mergeCell ref="C39:D39"/>
    <mergeCell ref="C22:D22"/>
    <mergeCell ref="C23:D23"/>
    <mergeCell ref="C24:D24"/>
    <mergeCell ref="C25:D25"/>
    <mergeCell ref="C26:D26"/>
    <mergeCell ref="C27:D27"/>
    <mergeCell ref="C28:D28"/>
    <mergeCell ref="C29:D29"/>
    <mergeCell ref="C30:D30"/>
    <mergeCell ref="B13:C13"/>
    <mergeCell ref="E13:F13"/>
    <mergeCell ref="B14:C14"/>
    <mergeCell ref="E14:F14"/>
    <mergeCell ref="A15:F15"/>
    <mergeCell ref="A18:G18"/>
    <mergeCell ref="C19:D19"/>
    <mergeCell ref="C20:D20"/>
    <mergeCell ref="C21:D21"/>
    <mergeCell ref="A8:B8"/>
    <mergeCell ref="C8:D8"/>
    <mergeCell ref="A9:F9"/>
    <mergeCell ref="B10:C10"/>
    <mergeCell ref="E10:F10"/>
    <mergeCell ref="B11:C11"/>
    <mergeCell ref="E11:F11"/>
    <mergeCell ref="B12:C12"/>
    <mergeCell ref="E12:F12"/>
    <mergeCell ref="A3:B3"/>
    <mergeCell ref="C3:F3"/>
    <mergeCell ref="A4:B4"/>
    <mergeCell ref="C4:F4"/>
    <mergeCell ref="A5:B5"/>
    <mergeCell ref="E5:F5"/>
    <mergeCell ref="A6:B6"/>
    <mergeCell ref="E6:F6"/>
    <mergeCell ref="A7:B7"/>
    <mergeCell ref="C7:D7"/>
    <mergeCell ref="E7:F7"/>
  </mergeCells>
  <hyperlinks>
    <hyperlink ref="A8" r:id="rId1" xr:uid="{8A395D5A-B4DB-4314-AA12-849CB4829318}"/>
    <hyperlink ref="I8" r:id="rId2" xr:uid="{589A9239-A9B7-4757-9676-43BB5F1CC320}"/>
    <hyperlink ref="Q8" r:id="rId3" xr:uid="{98925B02-46DF-4D63-8E0E-6EF205B495FC}"/>
    <hyperlink ref="Y8" r:id="rId4" xr:uid="{126D716A-867D-4309-9E1D-F52EC40D65BD}"/>
    <hyperlink ref="AG8" r:id="rId5" xr:uid="{49A0D643-43FA-42EC-85C5-05907E2DDCAB}"/>
  </hyperlinks>
  <pageMargins left="0.7" right="0.7" top="0.75" bottom="0.75" header="0.3" footer="0.3"/>
  <drawing r:id="rId6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9AD8A6-259A-4E9C-912C-368F510C058B}">
  <sheetPr codeName="Sheet38">
    <pageSetUpPr fitToPage="1"/>
  </sheetPr>
  <dimension ref="A1:XFD76"/>
  <sheetViews>
    <sheetView showGridLines="0" topLeftCell="B1" workbookViewId="0">
      <selection activeCell="O2" sqref="O2"/>
    </sheetView>
  </sheetViews>
  <sheetFormatPr defaultColWidth="9.140625" defaultRowHeight="12.75" x14ac:dyDescent="0.2"/>
  <cols>
    <col min="1" max="1" width="12.7109375" style="284" customWidth="1"/>
    <col min="2" max="2" width="21" style="284" customWidth="1"/>
    <col min="3" max="3" width="13.140625" style="284" customWidth="1"/>
    <col min="4" max="4" width="12.42578125" style="284" customWidth="1"/>
    <col min="5" max="7" width="12.7109375" style="284" customWidth="1"/>
    <col min="8" max="16384" width="9.140625" style="284"/>
  </cols>
  <sheetData>
    <row r="1" spans="1:7" ht="42.75" customHeight="1" x14ac:dyDescent="0.2"/>
    <row r="2" spans="1:7" ht="16.5" customHeight="1" x14ac:dyDescent="0.25">
      <c r="A2" s="597"/>
      <c r="B2" s="598"/>
      <c r="C2" s="599"/>
      <c r="D2" s="599"/>
      <c r="E2" s="599"/>
      <c r="F2" s="599"/>
    </row>
    <row r="3" spans="1:7" ht="16.5" customHeight="1" x14ac:dyDescent="0.2">
      <c r="A3" s="600" t="s">
        <v>106</v>
      </c>
      <c r="B3" s="600"/>
      <c r="C3" s="599"/>
      <c r="D3" s="599"/>
      <c r="E3" s="599"/>
      <c r="F3" s="599"/>
    </row>
    <row r="4" spans="1:7" s="280" customFormat="1" ht="14.1" customHeight="1" x14ac:dyDescent="0.2">
      <c r="A4" s="590" t="s">
        <v>107</v>
      </c>
      <c r="B4" s="590"/>
      <c r="C4" s="237"/>
      <c r="D4" s="279" t="s">
        <v>108</v>
      </c>
      <c r="E4" s="590" t="s">
        <v>109</v>
      </c>
      <c r="F4" s="590"/>
    </row>
    <row r="5" spans="1:7" s="280" customFormat="1" ht="14.1" customHeight="1" x14ac:dyDescent="0.2">
      <c r="A5" s="590" t="s">
        <v>110</v>
      </c>
      <c r="B5" s="590"/>
      <c r="C5" s="237"/>
      <c r="D5" s="279" t="s">
        <v>111</v>
      </c>
      <c r="E5" s="591">
        <f ca="1">TODAY()</f>
        <v>45198</v>
      </c>
      <c r="F5" s="591"/>
    </row>
    <row r="6" spans="1:7" s="280" customFormat="1" ht="14.1" customHeight="1" x14ac:dyDescent="0.2">
      <c r="A6" s="590" t="s">
        <v>112</v>
      </c>
      <c r="B6" s="590"/>
      <c r="C6" s="592" t="s">
        <v>113</v>
      </c>
      <c r="D6" s="592"/>
      <c r="E6" s="590" t="s">
        <v>114</v>
      </c>
      <c r="F6" s="590"/>
    </row>
    <row r="7" spans="1:7" s="280" customFormat="1" ht="14.1" customHeight="1" x14ac:dyDescent="0.2">
      <c r="A7" s="496" t="s">
        <v>115</v>
      </c>
      <c r="B7" s="590"/>
      <c r="C7" s="593" t="s">
        <v>116</v>
      </c>
      <c r="D7" s="593"/>
      <c r="E7" s="236">
        <f ca="1">TODAY()+30</f>
        <v>45228</v>
      </c>
      <c r="F7" s="235"/>
    </row>
    <row r="8" spans="1:7" s="280" customFormat="1" ht="14.1" customHeight="1" x14ac:dyDescent="0.2">
      <c r="A8" s="594"/>
      <c r="B8" s="594"/>
      <c r="C8" s="594"/>
      <c r="D8" s="594"/>
      <c r="E8" s="594"/>
      <c r="F8" s="594"/>
    </row>
    <row r="9" spans="1:7" s="280" customFormat="1" ht="14.1" customHeight="1" x14ac:dyDescent="0.2">
      <c r="A9" s="234" t="s">
        <v>87</v>
      </c>
      <c r="B9" s="595" t="s">
        <v>23</v>
      </c>
      <c r="C9" s="582"/>
      <c r="D9" s="233"/>
      <c r="E9" s="583"/>
      <c r="F9" s="583"/>
    </row>
    <row r="10" spans="1:7" s="280" customFormat="1" ht="14.1" customHeight="1" x14ac:dyDescent="0.2">
      <c r="A10" s="232"/>
      <c r="B10" s="596"/>
      <c r="C10" s="596"/>
      <c r="D10" s="278"/>
      <c r="E10" s="583"/>
      <c r="F10" s="583"/>
    </row>
    <row r="11" spans="1:7" s="280" customFormat="1" ht="14.1" customHeight="1" x14ac:dyDescent="0.2">
      <c r="A11" s="278"/>
      <c r="B11" s="589" t="s">
        <v>117</v>
      </c>
      <c r="C11" s="589"/>
      <c r="D11" s="278"/>
      <c r="E11" s="583"/>
      <c r="F11" s="583"/>
    </row>
    <row r="12" spans="1:7" s="280" customFormat="1" ht="14.1" customHeight="1" x14ac:dyDescent="0.2">
      <c r="A12" s="278"/>
      <c r="B12" s="582" t="s">
        <v>118</v>
      </c>
      <c r="C12" s="582"/>
      <c r="D12" s="278"/>
      <c r="E12" s="583"/>
      <c r="F12" s="583"/>
    </row>
    <row r="13" spans="1:7" s="280" customFormat="1" ht="14.1" customHeight="1" x14ac:dyDescent="0.2">
      <c r="A13" s="278"/>
      <c r="B13" s="582" t="s">
        <v>119</v>
      </c>
      <c r="C13" s="582"/>
      <c r="D13" s="278"/>
      <c r="E13" s="583"/>
      <c r="F13" s="583"/>
    </row>
    <row r="14" spans="1:7" s="280" customFormat="1" ht="14.1" customHeight="1" thickBot="1" x14ac:dyDescent="0.25">
      <c r="A14" s="584" t="s">
        <v>120</v>
      </c>
      <c r="B14" s="585"/>
      <c r="C14" s="585"/>
      <c r="D14" s="585"/>
      <c r="E14" s="585"/>
      <c r="F14" s="585"/>
    </row>
    <row r="15" spans="1:7" ht="22.5" x14ac:dyDescent="0.2">
      <c r="A15" s="289" t="s">
        <v>121</v>
      </c>
      <c r="B15" s="289" t="s">
        <v>122</v>
      </c>
      <c r="C15" s="275" t="s">
        <v>123</v>
      </c>
      <c r="D15" s="275" t="s">
        <v>124</v>
      </c>
      <c r="E15" s="275" t="s">
        <v>125</v>
      </c>
      <c r="F15" s="275" t="s">
        <v>126</v>
      </c>
      <c r="G15" s="289" t="s">
        <v>127</v>
      </c>
    </row>
    <row r="16" spans="1:7" ht="15.95" customHeight="1" x14ac:dyDescent="0.2">
      <c r="A16" s="230"/>
      <c r="B16" s="230"/>
      <c r="C16" s="220"/>
      <c r="D16" s="220"/>
      <c r="E16" s="229"/>
      <c r="F16" s="220" t="s">
        <v>128</v>
      </c>
      <c r="G16" s="229"/>
    </row>
    <row r="17" spans="1:7" ht="15.95" customHeight="1" thickBot="1" x14ac:dyDescent="0.25">
      <c r="A17" s="586"/>
      <c r="B17" s="586"/>
      <c r="C17" s="586"/>
      <c r="D17" s="586"/>
      <c r="E17" s="586"/>
      <c r="F17" s="586"/>
      <c r="G17" s="586"/>
    </row>
    <row r="18" spans="1:7" ht="15.95" customHeight="1" x14ac:dyDescent="0.2">
      <c r="A18" s="274" t="s">
        <v>96</v>
      </c>
      <c r="B18" s="274" t="s">
        <v>129</v>
      </c>
      <c r="C18" s="587" t="s">
        <v>130</v>
      </c>
      <c r="D18" s="588"/>
      <c r="E18" s="289" t="s">
        <v>131</v>
      </c>
      <c r="F18" s="289" t="s">
        <v>132</v>
      </c>
      <c r="G18" s="289" t="s">
        <v>133</v>
      </c>
    </row>
    <row r="19" spans="1:7" ht="15.95" customHeight="1" x14ac:dyDescent="0.2">
      <c r="A19" s="222"/>
      <c r="B19" s="254" t="s">
        <v>134</v>
      </c>
      <c r="C19" s="570" t="s">
        <v>135</v>
      </c>
      <c r="D19" s="571"/>
      <c r="E19" s="213">
        <v>7</v>
      </c>
      <c r="F19" s="227"/>
      <c r="G19" s="320" t="str">
        <f t="shared" ref="G19:G37" si="0">IF(SUM(A19)&gt;0,SUM((A19*E19)-F19),"")</f>
        <v/>
      </c>
    </row>
    <row r="20" spans="1:7" ht="15.95" customHeight="1" x14ac:dyDescent="0.2">
      <c r="A20" s="222"/>
      <c r="B20" s="254" t="s">
        <v>134</v>
      </c>
      <c r="C20" s="570" t="s">
        <v>136</v>
      </c>
      <c r="D20" s="571"/>
      <c r="E20" s="213">
        <v>7.5</v>
      </c>
      <c r="F20" s="227"/>
      <c r="G20" s="320" t="str">
        <f t="shared" si="0"/>
        <v/>
      </c>
    </row>
    <row r="21" spans="1:7" ht="15.95" customHeight="1" x14ac:dyDescent="0.2">
      <c r="A21" s="222"/>
      <c r="B21" s="254" t="s">
        <v>134</v>
      </c>
      <c r="C21" s="570" t="s">
        <v>137</v>
      </c>
      <c r="D21" s="571"/>
      <c r="E21" s="213">
        <v>9</v>
      </c>
      <c r="F21" s="227"/>
      <c r="G21" s="320" t="str">
        <f t="shared" si="0"/>
        <v/>
      </c>
    </row>
    <row r="22" spans="1:7" ht="15.95" customHeight="1" x14ac:dyDescent="0.2">
      <c r="A22" s="222"/>
      <c r="B22" s="254" t="s">
        <v>134</v>
      </c>
      <c r="C22" s="570" t="s">
        <v>138</v>
      </c>
      <c r="D22" s="571"/>
      <c r="E22" s="213">
        <v>10</v>
      </c>
      <c r="F22" s="227"/>
      <c r="G22" s="320" t="str">
        <f t="shared" si="0"/>
        <v/>
      </c>
    </row>
    <row r="23" spans="1:7" ht="15.95" customHeight="1" x14ac:dyDescent="0.2">
      <c r="A23" s="222"/>
      <c r="B23" s="254" t="s">
        <v>134</v>
      </c>
      <c r="C23" s="570" t="s">
        <v>139</v>
      </c>
      <c r="D23" s="571"/>
      <c r="E23" s="213">
        <v>11</v>
      </c>
      <c r="F23" s="227"/>
      <c r="G23" s="320" t="str">
        <f t="shared" si="0"/>
        <v/>
      </c>
    </row>
    <row r="24" spans="1:7" ht="15.95" customHeight="1" x14ac:dyDescent="0.2">
      <c r="A24" s="222"/>
      <c r="B24" s="254" t="s">
        <v>134</v>
      </c>
      <c r="C24" s="570" t="s">
        <v>140</v>
      </c>
      <c r="D24" s="571"/>
      <c r="E24" s="213">
        <v>12</v>
      </c>
      <c r="F24" s="227"/>
      <c r="G24" s="320" t="str">
        <f t="shared" si="0"/>
        <v/>
      </c>
    </row>
    <row r="25" spans="1:7" ht="15.95" customHeight="1" x14ac:dyDescent="0.2">
      <c r="A25" s="222"/>
      <c r="B25" s="254" t="s">
        <v>134</v>
      </c>
      <c r="C25" s="570" t="s">
        <v>141</v>
      </c>
      <c r="D25" s="571"/>
      <c r="E25" s="213">
        <v>13.5</v>
      </c>
      <c r="F25" s="227"/>
      <c r="G25" s="320" t="str">
        <f t="shared" si="0"/>
        <v/>
      </c>
    </row>
    <row r="26" spans="1:7" ht="15.95" customHeight="1" x14ac:dyDescent="0.2">
      <c r="A26" s="222"/>
      <c r="B26" s="254" t="s">
        <v>134</v>
      </c>
      <c r="C26" s="570" t="s">
        <v>142</v>
      </c>
      <c r="D26" s="571"/>
      <c r="E26" s="213">
        <v>18</v>
      </c>
      <c r="F26" s="227"/>
      <c r="G26" s="320" t="str">
        <f t="shared" si="0"/>
        <v/>
      </c>
    </row>
    <row r="27" spans="1:7" ht="15.95" customHeight="1" x14ac:dyDescent="0.2">
      <c r="A27" s="222"/>
      <c r="B27" s="254" t="s">
        <v>134</v>
      </c>
      <c r="C27" s="570" t="s">
        <v>143</v>
      </c>
      <c r="D27" s="571"/>
      <c r="E27" s="213">
        <v>23</v>
      </c>
      <c r="F27" s="227"/>
      <c r="G27" s="320" t="str">
        <f t="shared" si="0"/>
        <v/>
      </c>
    </row>
    <row r="28" spans="1:7" ht="15.95" customHeight="1" x14ac:dyDescent="0.2">
      <c r="A28" s="222"/>
      <c r="B28" s="254" t="s">
        <v>134</v>
      </c>
      <c r="C28" s="570" t="s">
        <v>144</v>
      </c>
      <c r="D28" s="571"/>
      <c r="E28" s="213">
        <v>29</v>
      </c>
      <c r="F28" s="227"/>
      <c r="G28" s="320" t="str">
        <f t="shared" si="0"/>
        <v/>
      </c>
    </row>
    <row r="29" spans="1:7" ht="15.95" customHeight="1" x14ac:dyDescent="0.2">
      <c r="A29" s="222"/>
      <c r="B29" s="254" t="s">
        <v>134</v>
      </c>
      <c r="C29" s="570" t="s">
        <v>145</v>
      </c>
      <c r="D29" s="571"/>
      <c r="E29" s="213">
        <v>36</v>
      </c>
      <c r="F29" s="227"/>
      <c r="G29" s="320" t="str">
        <f t="shared" si="0"/>
        <v/>
      </c>
    </row>
    <row r="30" spans="1:7" ht="15.95" customHeight="1" x14ac:dyDescent="0.2">
      <c r="A30" s="222"/>
      <c r="B30" s="254" t="s">
        <v>134</v>
      </c>
      <c r="C30" s="570" t="s">
        <v>146</v>
      </c>
      <c r="D30" s="571"/>
      <c r="E30" s="213">
        <v>42.5</v>
      </c>
      <c r="F30" s="227"/>
      <c r="G30" s="320" t="str">
        <f t="shared" si="0"/>
        <v/>
      </c>
    </row>
    <row r="31" spans="1:7" ht="15.95" customHeight="1" x14ac:dyDescent="0.2">
      <c r="A31" s="222"/>
      <c r="B31" s="254" t="s">
        <v>134</v>
      </c>
      <c r="C31" s="570" t="s">
        <v>147</v>
      </c>
      <c r="D31" s="571"/>
      <c r="E31" s="213">
        <v>49</v>
      </c>
      <c r="F31" s="227"/>
      <c r="G31" s="320" t="str">
        <f t="shared" si="0"/>
        <v/>
      </c>
    </row>
    <row r="32" spans="1:7" ht="15.95" customHeight="1" x14ac:dyDescent="0.2">
      <c r="A32" s="222"/>
      <c r="B32" s="254" t="s">
        <v>134</v>
      </c>
      <c r="C32" s="570" t="s">
        <v>148</v>
      </c>
      <c r="D32" s="571"/>
      <c r="E32" s="213">
        <v>65</v>
      </c>
      <c r="F32" s="227"/>
      <c r="G32" s="320" t="str">
        <f t="shared" si="0"/>
        <v/>
      </c>
    </row>
    <row r="33" spans="1:7 16384:16384" ht="15.95" customHeight="1" x14ac:dyDescent="0.2">
      <c r="A33" s="222"/>
      <c r="B33" s="254" t="s">
        <v>134</v>
      </c>
      <c r="C33" s="570" t="s">
        <v>149</v>
      </c>
      <c r="D33" s="571"/>
      <c r="E33" s="213">
        <v>70</v>
      </c>
      <c r="F33" s="227"/>
      <c r="G33" s="320" t="str">
        <f t="shared" si="0"/>
        <v/>
      </c>
    </row>
    <row r="34" spans="1:7 16384:16384" ht="15.95" customHeight="1" x14ac:dyDescent="0.2">
      <c r="A34" s="222"/>
      <c r="B34" s="254" t="s">
        <v>134</v>
      </c>
      <c r="C34" s="570" t="s">
        <v>150</v>
      </c>
      <c r="D34" s="571"/>
      <c r="E34" s="213">
        <v>80</v>
      </c>
      <c r="F34" s="227"/>
      <c r="G34" s="320" t="str">
        <f t="shared" si="0"/>
        <v/>
      </c>
    </row>
    <row r="35" spans="1:7 16384:16384" ht="15.95" customHeight="1" x14ac:dyDescent="0.2">
      <c r="A35" s="222"/>
      <c r="B35" s="254" t="s">
        <v>134</v>
      </c>
      <c r="C35" s="570" t="s">
        <v>151</v>
      </c>
      <c r="D35" s="571"/>
      <c r="E35" s="213">
        <v>86</v>
      </c>
      <c r="F35" s="227"/>
      <c r="G35" s="320" t="str">
        <f t="shared" si="0"/>
        <v/>
      </c>
    </row>
    <row r="36" spans="1:7 16384:16384" ht="15.95" customHeight="1" x14ac:dyDescent="0.2">
      <c r="A36" s="222"/>
      <c r="B36" s="254" t="s">
        <v>134</v>
      </c>
      <c r="C36" s="570" t="s">
        <v>152</v>
      </c>
      <c r="D36" s="571"/>
      <c r="E36" s="213">
        <v>95</v>
      </c>
      <c r="F36" s="227"/>
      <c r="G36" s="320" t="str">
        <f t="shared" si="0"/>
        <v/>
      </c>
    </row>
    <row r="37" spans="1:7 16384:16384" ht="15.95" customHeight="1" x14ac:dyDescent="0.2">
      <c r="A37" s="222"/>
      <c r="B37" s="254" t="s">
        <v>134</v>
      </c>
      <c r="C37" s="570" t="s">
        <v>153</v>
      </c>
      <c r="D37" s="571"/>
      <c r="E37" s="213">
        <v>120</v>
      </c>
      <c r="F37" s="227"/>
      <c r="G37" s="320" t="str">
        <f t="shared" si="0"/>
        <v/>
      </c>
    </row>
    <row r="38" spans="1:7 16384:16384" ht="15.95" customHeight="1" x14ac:dyDescent="0.2">
      <c r="A38" s="222"/>
      <c r="B38" s="257" t="s">
        <v>154</v>
      </c>
      <c r="C38" s="578" t="s">
        <v>155</v>
      </c>
      <c r="D38" s="579"/>
      <c r="E38" s="245" t="s">
        <v>156</v>
      </c>
      <c r="F38" s="256"/>
      <c r="G38" s="322"/>
    </row>
    <row r="39" spans="1:7 16384:16384" ht="15.95" customHeight="1" x14ac:dyDescent="0.2">
      <c r="A39" s="222"/>
      <c r="B39" s="254" t="s">
        <v>157</v>
      </c>
      <c r="C39" s="570" t="s">
        <v>158</v>
      </c>
      <c r="D39" s="571"/>
      <c r="E39" s="213">
        <v>1.25</v>
      </c>
      <c r="F39" s="226">
        <f>(A39*E39)</f>
        <v>0</v>
      </c>
      <c r="G39" s="320">
        <f>(A39*E39)*2</f>
        <v>0</v>
      </c>
    </row>
    <row r="40" spans="1:7 16384:16384" ht="15.95" customHeight="1" x14ac:dyDescent="0.2">
      <c r="A40" s="222"/>
      <c r="B40" s="254" t="s">
        <v>159</v>
      </c>
      <c r="C40" s="570" t="s">
        <v>160</v>
      </c>
      <c r="D40" s="571"/>
      <c r="E40" s="213">
        <v>2.5</v>
      </c>
      <c r="F40" s="226">
        <f>(A40*E40)</f>
        <v>0</v>
      </c>
      <c r="G40" s="320">
        <f>(A40*E40)*2.5</f>
        <v>0</v>
      </c>
    </row>
    <row r="41" spans="1:7 16384:16384" ht="15.95" customHeight="1" x14ac:dyDescent="0.2">
      <c r="A41" s="222"/>
      <c r="B41" s="254" t="s">
        <v>161</v>
      </c>
      <c r="C41" s="570" t="s">
        <v>162</v>
      </c>
      <c r="D41" s="571"/>
      <c r="E41" s="213">
        <v>4</v>
      </c>
      <c r="F41" s="226">
        <f>(A41*E41)</f>
        <v>0</v>
      </c>
      <c r="G41" s="320">
        <f>(A41*E41)*2</f>
        <v>0</v>
      </c>
    </row>
    <row r="42" spans="1:7 16384:16384" ht="15.95" customHeight="1" x14ac:dyDescent="0.2">
      <c r="A42" s="222"/>
      <c r="B42" s="230" t="s">
        <v>163</v>
      </c>
      <c r="C42" s="576" t="s">
        <v>164</v>
      </c>
      <c r="D42" s="577"/>
      <c r="E42" s="222" t="s">
        <v>156</v>
      </c>
      <c r="F42" s="256"/>
      <c r="G42" s="255"/>
    </row>
    <row r="43" spans="1:7 16384:16384" ht="15.95" customHeight="1" x14ac:dyDescent="0.2">
      <c r="A43" s="222"/>
      <c r="B43" s="254" t="s">
        <v>165</v>
      </c>
      <c r="C43" s="570"/>
      <c r="D43" s="571"/>
      <c r="E43" s="213">
        <v>115</v>
      </c>
      <c r="F43" s="227"/>
      <c r="G43" s="226" t="str">
        <f>IF(SUM(A43)&gt;0,SUM((A43*E43)-F43),"")</f>
        <v/>
      </c>
    </row>
    <row r="44" spans="1:7 16384:16384" ht="15.95" customHeight="1" x14ac:dyDescent="0.2">
      <c r="A44" s="222"/>
      <c r="B44" s="254" t="s">
        <v>166</v>
      </c>
      <c r="C44" s="570"/>
      <c r="D44" s="571"/>
      <c r="E44" s="213">
        <v>40</v>
      </c>
      <c r="F44" s="227"/>
      <c r="G44" s="320" t="str">
        <f>IF(SUM(A44)&gt;0,SUM((A44*E44)-F44),"")</f>
        <v/>
      </c>
    </row>
    <row r="45" spans="1:7 16384:16384" ht="15.95" customHeight="1" x14ac:dyDescent="0.2">
      <c r="A45" s="222"/>
      <c r="B45" s="330" t="s">
        <v>167</v>
      </c>
      <c r="C45" s="572"/>
      <c r="D45" s="573"/>
      <c r="E45" s="213"/>
      <c r="F45" s="227"/>
      <c r="G45" s="320">
        <f>SUM(G19:G42,G44)</f>
        <v>0</v>
      </c>
    </row>
    <row r="46" spans="1:7 16384:16384" ht="15.95" customHeight="1" x14ac:dyDescent="0.2">
      <c r="A46" s="222"/>
      <c r="B46" s="330"/>
      <c r="C46" s="329"/>
      <c r="D46" s="328"/>
      <c r="E46" s="213"/>
      <c r="F46" s="227"/>
      <c r="G46" s="213"/>
    </row>
    <row r="47" spans="1:7 16384:16384" ht="15.95" customHeight="1" x14ac:dyDescent="0.2">
      <c r="A47" s="326"/>
      <c r="B47" s="327" t="s">
        <v>168</v>
      </c>
      <c r="C47" s="580" t="s">
        <v>169</v>
      </c>
      <c r="D47" s="581"/>
      <c r="E47" s="326"/>
      <c r="F47" s="325"/>
      <c r="G47" s="226">
        <f>SUM(F39,F40,F41,F42,G43)*0.07</f>
        <v>0</v>
      </c>
      <c r="XFD47" s="324">
        <f>SUM(A47:XFC47)</f>
        <v>0</v>
      </c>
    </row>
    <row r="48" spans="1:7 16384:16384" ht="15.95" customHeight="1" x14ac:dyDescent="0.2">
      <c r="A48" s="222"/>
      <c r="B48" s="230" t="s">
        <v>170</v>
      </c>
      <c r="C48" s="576"/>
      <c r="D48" s="577"/>
      <c r="E48" s="222">
        <v>75</v>
      </c>
      <c r="F48" s="256"/>
      <c r="G48" s="245">
        <f>(A48*E48)</f>
        <v>0</v>
      </c>
    </row>
    <row r="49" spans="1:7" ht="15.95" customHeight="1" x14ac:dyDescent="0.2">
      <c r="A49" s="222"/>
      <c r="B49" s="230" t="s">
        <v>171</v>
      </c>
      <c r="C49" s="568" t="s">
        <v>172</v>
      </c>
      <c r="D49" s="569"/>
      <c r="E49" s="222"/>
      <c r="F49" s="256"/>
      <c r="G49" s="322"/>
    </row>
    <row r="50" spans="1:7" ht="15.95" customHeight="1" x14ac:dyDescent="0.2">
      <c r="A50" s="222"/>
      <c r="B50" s="254" t="s">
        <v>171</v>
      </c>
      <c r="C50" s="570" t="s">
        <v>173</v>
      </c>
      <c r="D50" s="571"/>
      <c r="E50" s="213">
        <v>115</v>
      </c>
      <c r="F50" s="227"/>
      <c r="G50" s="320">
        <f>IF(SUM(A50)&gt;0,SUM((A50*E50)-F50),)</f>
        <v>0</v>
      </c>
    </row>
    <row r="51" spans="1:7" ht="15.95" customHeight="1" x14ac:dyDescent="0.2">
      <c r="A51" s="222"/>
      <c r="B51" s="230" t="s">
        <v>174</v>
      </c>
      <c r="C51" s="568" t="s">
        <v>172</v>
      </c>
      <c r="D51" s="569"/>
      <c r="E51" s="222"/>
      <c r="F51" s="256"/>
      <c r="G51" s="322"/>
    </row>
    <row r="52" spans="1:7" ht="15.95" customHeight="1" x14ac:dyDescent="0.2">
      <c r="A52" s="222"/>
      <c r="B52" s="254" t="s">
        <v>175</v>
      </c>
      <c r="C52" s="572"/>
      <c r="D52" s="573"/>
      <c r="E52" s="213">
        <v>75</v>
      </c>
      <c r="F52" s="227"/>
      <c r="G52" s="320">
        <f>IF(SUM(A52)&gt;0,SUM((A52*E52)-F52),)</f>
        <v>0</v>
      </c>
    </row>
    <row r="53" spans="1:7" ht="15.95" customHeight="1" x14ac:dyDescent="0.2">
      <c r="A53" s="321"/>
      <c r="B53" s="254"/>
      <c r="C53" s="572"/>
      <c r="D53" s="573"/>
      <c r="E53" s="213"/>
      <c r="F53" s="227"/>
      <c r="G53" s="320"/>
    </row>
    <row r="54" spans="1:7" ht="15.95" customHeight="1" x14ac:dyDescent="0.2">
      <c r="A54" s="316"/>
      <c r="E54" s="574" t="s">
        <v>176</v>
      </c>
      <c r="F54" s="575"/>
      <c r="G54" s="319">
        <f>SUM(G47,G48,G49,G50,G51,G52,G45)</f>
        <v>0</v>
      </c>
    </row>
    <row r="55" spans="1:7" ht="15.95" customHeight="1" x14ac:dyDescent="0.2">
      <c r="A55" s="316"/>
      <c r="B55" s="203"/>
      <c r="C55" s="203"/>
      <c r="D55" s="566" t="s">
        <v>177</v>
      </c>
      <c r="E55" s="566"/>
      <c r="F55" s="249"/>
      <c r="G55" s="318">
        <f>G54*F55</f>
        <v>0</v>
      </c>
    </row>
    <row r="56" spans="1:7" ht="15.95" customHeight="1" x14ac:dyDescent="0.2">
      <c r="A56" s="316"/>
      <c r="B56" s="280"/>
      <c r="C56" s="280"/>
      <c r="D56" s="280"/>
      <c r="E56" s="280"/>
      <c r="F56" s="283" t="s">
        <v>178</v>
      </c>
      <c r="G56" s="213">
        <f>G54-G55</f>
        <v>0</v>
      </c>
    </row>
    <row r="57" spans="1:7" ht="15.95" customHeight="1" x14ac:dyDescent="0.2">
      <c r="A57" s="316"/>
      <c r="B57" s="280"/>
      <c r="C57" s="280"/>
      <c r="D57" s="280"/>
      <c r="E57" s="280"/>
      <c r="F57" s="212" t="s">
        <v>27</v>
      </c>
      <c r="G57" s="213">
        <f>G56*0.05</f>
        <v>0</v>
      </c>
    </row>
    <row r="58" spans="1:7" ht="15.95" customHeight="1" x14ac:dyDescent="0.2">
      <c r="A58" s="316"/>
      <c r="B58" s="280"/>
      <c r="C58" s="280"/>
      <c r="D58" s="280"/>
      <c r="E58" s="280"/>
      <c r="F58" s="283" t="s">
        <v>179</v>
      </c>
      <c r="G58" s="317">
        <f>G56+G57</f>
        <v>0</v>
      </c>
    </row>
    <row r="59" spans="1:7" ht="15.95" customHeight="1" x14ac:dyDescent="0.2">
      <c r="A59" s="316"/>
      <c r="B59" s="209"/>
      <c r="C59" s="209"/>
      <c r="D59" s="280"/>
      <c r="E59" s="206"/>
      <c r="F59" s="208"/>
    </row>
    <row r="60" spans="1:7" ht="15.95" customHeight="1" x14ac:dyDescent="0.2">
      <c r="A60" s="316"/>
      <c r="B60" s="207"/>
      <c r="C60" s="203"/>
      <c r="D60" s="280"/>
      <c r="E60" s="206"/>
      <c r="F60" s="205" t="str">
        <f>IF(SUM(F58)&gt;0,SUM((F58*F59)+F58),"")</f>
        <v/>
      </c>
    </row>
    <row r="61" spans="1:7" ht="15.95" customHeight="1" x14ac:dyDescent="0.2">
      <c r="A61" s="315"/>
      <c r="B61" s="203"/>
      <c r="C61" s="203"/>
      <c r="D61" s="280"/>
      <c r="E61" s="280"/>
      <c r="F61" s="280"/>
    </row>
    <row r="62" spans="1:7" ht="15.95" customHeight="1" x14ac:dyDescent="0.2">
      <c r="A62" s="216"/>
      <c r="B62" s="567"/>
      <c r="C62" s="567"/>
      <c r="D62" s="567"/>
      <c r="E62" s="567"/>
    </row>
    <row r="63" spans="1:7" ht="15.95" customHeight="1" x14ac:dyDescent="0.2">
      <c r="A63" s="280"/>
      <c r="B63" s="202"/>
      <c r="C63" s="201"/>
      <c r="D63" s="201"/>
      <c r="E63" s="201"/>
    </row>
    <row r="64" spans="1:7" ht="15.95" customHeight="1" x14ac:dyDescent="0.2">
      <c r="A64" s="280"/>
    </row>
    <row r="65" spans="1:6" ht="15.95" customHeight="1" x14ac:dyDescent="0.2">
      <c r="A65" s="280"/>
      <c r="B65" s="282"/>
      <c r="C65" s="282"/>
      <c r="D65" s="282"/>
      <c r="E65" s="282"/>
      <c r="F65" s="282"/>
    </row>
    <row r="66" spans="1:6" x14ac:dyDescent="0.2">
      <c r="A66" s="209"/>
    </row>
    <row r="67" spans="1:6" ht="15.95" customHeight="1" x14ac:dyDescent="0.2">
      <c r="A67" s="204"/>
    </row>
    <row r="68" spans="1:6" ht="15.95" customHeight="1" x14ac:dyDescent="0.2">
      <c r="A68" s="204"/>
    </row>
    <row r="69" spans="1:6" ht="15.95" customHeight="1" x14ac:dyDescent="0.2"/>
    <row r="70" spans="1:6" ht="15.95" customHeight="1" x14ac:dyDescent="0.2"/>
    <row r="71" spans="1:6" ht="15.95" customHeight="1" x14ac:dyDescent="0.2"/>
    <row r="72" spans="1:6" ht="15.95" customHeight="1" x14ac:dyDescent="0.2">
      <c r="A72" s="200"/>
    </row>
    <row r="73" spans="1:6" ht="15.95" customHeight="1" x14ac:dyDescent="0.2"/>
    <row r="74" spans="1:6" ht="15.95" customHeight="1" x14ac:dyDescent="0.2"/>
    <row r="75" spans="1:6" ht="15.95" customHeight="1" x14ac:dyDescent="0.2"/>
    <row r="76" spans="1:6" ht="10.5" customHeight="1" x14ac:dyDescent="0.2"/>
  </sheetData>
  <sheetProtection selectLockedCells="1"/>
  <mergeCells count="64">
    <mergeCell ref="A2:B2"/>
    <mergeCell ref="C2:F2"/>
    <mergeCell ref="A3:B3"/>
    <mergeCell ref="C3:F3"/>
    <mergeCell ref="A4:B4"/>
    <mergeCell ref="E4:F4"/>
    <mergeCell ref="B11:C11"/>
    <mergeCell ref="E11:F11"/>
    <mergeCell ref="A5:B5"/>
    <mergeCell ref="E5:F5"/>
    <mergeCell ref="A6:B6"/>
    <mergeCell ref="C6:D6"/>
    <mergeCell ref="E6:F6"/>
    <mergeCell ref="A7:B7"/>
    <mergeCell ref="C7:D7"/>
    <mergeCell ref="A8:F8"/>
    <mergeCell ref="B9:C9"/>
    <mergeCell ref="E9:F9"/>
    <mergeCell ref="B10:C10"/>
    <mergeCell ref="E10:F10"/>
    <mergeCell ref="C23:D23"/>
    <mergeCell ref="B12:C12"/>
    <mergeCell ref="E12:F12"/>
    <mergeCell ref="B13:C13"/>
    <mergeCell ref="E13:F13"/>
    <mergeCell ref="A14:F14"/>
    <mergeCell ref="A17:G17"/>
    <mergeCell ref="C18:D18"/>
    <mergeCell ref="C19:D19"/>
    <mergeCell ref="C20:D20"/>
    <mergeCell ref="C21:D21"/>
    <mergeCell ref="C22:D22"/>
    <mergeCell ref="C35:D35"/>
    <mergeCell ref="C24:D24"/>
    <mergeCell ref="C25:D25"/>
    <mergeCell ref="C26:D26"/>
    <mergeCell ref="C27:D27"/>
    <mergeCell ref="C28:D28"/>
    <mergeCell ref="C29:D29"/>
    <mergeCell ref="C30:D30"/>
    <mergeCell ref="C31:D31"/>
    <mergeCell ref="C32:D32"/>
    <mergeCell ref="C33:D33"/>
    <mergeCell ref="C34:D34"/>
    <mergeCell ref="C48:D48"/>
    <mergeCell ref="C36:D36"/>
    <mergeCell ref="C37:D37"/>
    <mergeCell ref="C38:D38"/>
    <mergeCell ref="C39:D39"/>
    <mergeCell ref="C40:D40"/>
    <mergeCell ref="C41:D41"/>
    <mergeCell ref="C42:D42"/>
    <mergeCell ref="C43:D43"/>
    <mergeCell ref="C44:D44"/>
    <mergeCell ref="C45:D45"/>
    <mergeCell ref="C47:D47"/>
    <mergeCell ref="D55:E55"/>
    <mergeCell ref="B62:E62"/>
    <mergeCell ref="C49:D49"/>
    <mergeCell ref="C50:D50"/>
    <mergeCell ref="C51:D51"/>
    <mergeCell ref="C52:D52"/>
    <mergeCell ref="C53:D53"/>
    <mergeCell ref="E54:F54"/>
  </mergeCells>
  <hyperlinks>
    <hyperlink ref="A7" r:id="rId1" xr:uid="{559074DA-AB1B-41BB-85D5-07A45DFA2801}"/>
  </hyperlinks>
  <printOptions horizontalCentered="1"/>
  <pageMargins left="0.74803149606299213" right="0.74803149606299213" top="0.51181102362204722" bottom="0.51181102362204722" header="0.51181102362204722" footer="0.51181102362204722"/>
  <pageSetup scale="73" orientation="portrait" r:id="rId2"/>
  <headerFooter alignWithMargins="0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AE1370-BBC7-4E54-B7C1-D8199BD4F6E3}">
  <sheetPr codeName="Sheet13"/>
  <dimension ref="A1:C12"/>
  <sheetViews>
    <sheetView workbookViewId="0">
      <selection activeCell="I8" sqref="I8:N9"/>
    </sheetView>
  </sheetViews>
  <sheetFormatPr defaultRowHeight="15" x14ac:dyDescent="0.25"/>
  <sheetData>
    <row r="1" spans="1:3" x14ac:dyDescent="0.25">
      <c r="A1" t="s">
        <v>460</v>
      </c>
      <c r="B1" t="s">
        <v>382</v>
      </c>
      <c r="C1" t="s">
        <v>46</v>
      </c>
    </row>
    <row r="2" spans="1:3" x14ac:dyDescent="0.25">
      <c r="A2" t="s">
        <v>51</v>
      </c>
      <c r="B2" s="12">
        <v>8</v>
      </c>
      <c r="C2" s="13">
        <v>1.62</v>
      </c>
    </row>
    <row r="3" spans="1:3" x14ac:dyDescent="0.25">
      <c r="A3" t="s">
        <v>52</v>
      </c>
      <c r="B3" s="13">
        <v>7</v>
      </c>
      <c r="C3" s="13">
        <v>1.26</v>
      </c>
    </row>
    <row r="4" spans="1:3" x14ac:dyDescent="0.25">
      <c r="A4" t="s">
        <v>53</v>
      </c>
      <c r="B4" s="13">
        <v>16</v>
      </c>
      <c r="C4" s="13">
        <v>4.47</v>
      </c>
    </row>
    <row r="5" spans="1:3" x14ac:dyDescent="0.25">
      <c r="A5" t="s">
        <v>54</v>
      </c>
      <c r="B5" s="13">
        <v>7</v>
      </c>
      <c r="C5" s="13">
        <v>1.05</v>
      </c>
    </row>
    <row r="6" spans="1:3" x14ac:dyDescent="0.25">
      <c r="A6" t="s">
        <v>55</v>
      </c>
      <c r="B6" s="13">
        <v>9</v>
      </c>
      <c r="C6" s="13">
        <v>2.02</v>
      </c>
    </row>
    <row r="7" spans="1:3" x14ac:dyDescent="0.25">
      <c r="A7" t="s">
        <v>56</v>
      </c>
      <c r="B7" s="13">
        <v>9</v>
      </c>
      <c r="C7" s="13">
        <v>2.2000000000000002</v>
      </c>
    </row>
    <row r="8" spans="1:3" x14ac:dyDescent="0.25">
      <c r="A8" t="s">
        <v>57</v>
      </c>
      <c r="B8" s="13">
        <v>8</v>
      </c>
      <c r="C8" s="13">
        <v>1.8</v>
      </c>
    </row>
    <row r="9" spans="1:3" x14ac:dyDescent="0.25">
      <c r="A9" t="s">
        <v>58</v>
      </c>
      <c r="B9" s="13">
        <v>8.5</v>
      </c>
      <c r="C9" s="13">
        <v>2.4</v>
      </c>
    </row>
    <row r="10" spans="1:3" x14ac:dyDescent="0.25">
      <c r="A10" t="s">
        <v>59</v>
      </c>
      <c r="B10" s="13">
        <v>6</v>
      </c>
      <c r="C10" s="13">
        <v>0.45</v>
      </c>
    </row>
    <row r="11" spans="1:3" x14ac:dyDescent="0.25">
      <c r="A11" t="s">
        <v>60</v>
      </c>
      <c r="B11" s="13">
        <v>7</v>
      </c>
      <c r="C11" s="13">
        <v>1.5</v>
      </c>
    </row>
    <row r="12" spans="1:3" x14ac:dyDescent="0.25">
      <c r="A12" t="s">
        <v>373</v>
      </c>
      <c r="B12" s="13">
        <v>13</v>
      </c>
      <c r="C12" s="13">
        <v>1.39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0AE437-6D01-41BE-96B9-371398EA0ADF}">
  <sheetPr codeName="Sheet1"/>
  <dimension ref="A1:XFC33"/>
  <sheetViews>
    <sheetView tabSelected="1" zoomScaleNormal="100" workbookViewId="0">
      <selection activeCell="C18" sqref="C18"/>
    </sheetView>
  </sheetViews>
  <sheetFormatPr defaultColWidth="0" defaultRowHeight="15" zeroHeight="1" x14ac:dyDescent="0.25"/>
  <cols>
    <col min="1" max="8" width="20" style="41" customWidth="1"/>
    <col min="9" max="16383" width="9.140625" style="41" hidden="1"/>
    <col min="16384" max="16384" width="31" style="41" hidden="1" customWidth="1"/>
  </cols>
  <sheetData>
    <row r="1" spans="1:8" s="601" customFormat="1" x14ac:dyDescent="0.25">
      <c r="A1" s="601" t="s">
        <v>440</v>
      </c>
    </row>
    <row r="2" spans="1:8" s="601" customFormat="1" x14ac:dyDescent="0.25"/>
    <row r="3" spans="1:8" s="601" customFormat="1" x14ac:dyDescent="0.25"/>
    <row r="4" spans="1:8" s="601" customFormat="1" ht="109.5" customHeight="1" thickBot="1" x14ac:dyDescent="0.3"/>
    <row r="5" spans="1:8" s="336" customFormat="1" ht="21" customHeight="1" thickBot="1" x14ac:dyDescent="0.3">
      <c r="A5" s="335"/>
      <c r="B5" s="336" t="s">
        <v>385</v>
      </c>
      <c r="C5" s="605"/>
      <c r="D5" s="605"/>
      <c r="E5" s="336" t="s">
        <v>386</v>
      </c>
      <c r="F5" s="605"/>
      <c r="G5" s="605"/>
    </row>
    <row r="6" spans="1:8" s="43" customFormat="1" ht="21" customHeight="1" x14ac:dyDescent="0.25"/>
    <row r="7" spans="1:8" s="24" customFormat="1" ht="26.25" x14ac:dyDescent="0.4">
      <c r="A7" s="39"/>
      <c r="B7" s="42"/>
      <c r="C7" s="602" t="s">
        <v>229</v>
      </c>
      <c r="D7" s="602"/>
      <c r="E7" s="602"/>
      <c r="F7" s="602"/>
      <c r="G7" s="42"/>
      <c r="H7" s="42"/>
    </row>
    <row r="8" spans="1:8" s="24" customFormat="1" ht="26.25" x14ac:dyDescent="0.4">
      <c r="A8" s="39"/>
      <c r="B8" s="42"/>
      <c r="C8" s="602"/>
      <c r="D8" s="602"/>
      <c r="E8" s="602"/>
      <c r="F8" s="602"/>
      <c r="G8" s="42"/>
      <c r="H8" s="42"/>
    </row>
    <row r="9" spans="1:8" s="24" customFormat="1" ht="15.75" customHeight="1" x14ac:dyDescent="0.25">
      <c r="A9" s="39"/>
      <c r="B9" s="39"/>
      <c r="C9" s="602"/>
      <c r="D9" s="602"/>
      <c r="E9" s="602"/>
      <c r="F9" s="602"/>
      <c r="G9" s="39"/>
      <c r="H9" s="39"/>
    </row>
    <row r="10" spans="1:8" s="24" customFormat="1" ht="18.75" customHeight="1" x14ac:dyDescent="0.25">
      <c r="A10" s="39"/>
      <c r="B10" s="39"/>
      <c r="C10" s="95"/>
      <c r="D10" s="95"/>
      <c r="E10" s="95"/>
      <c r="F10" s="95"/>
      <c r="G10" s="39"/>
      <c r="H10" s="39"/>
    </row>
    <row r="11" spans="1:8" s="18" customFormat="1" ht="18.75" customHeight="1" x14ac:dyDescent="0.25">
      <c r="A11" s="40"/>
      <c r="B11" s="40"/>
      <c r="C11" s="603" t="s">
        <v>194</v>
      </c>
      <c r="D11" s="604"/>
      <c r="E11" s="604"/>
      <c r="F11" s="604"/>
      <c r="G11" s="40"/>
      <c r="H11" s="40"/>
    </row>
    <row r="12" spans="1:8" s="18" customFormat="1" ht="18.75" customHeight="1" x14ac:dyDescent="0.25">
      <c r="A12" s="40"/>
      <c r="B12" s="40"/>
      <c r="C12" s="38"/>
      <c r="D12" s="38"/>
      <c r="E12" s="38"/>
      <c r="F12" s="38"/>
      <c r="G12" s="40"/>
      <c r="H12" s="40"/>
    </row>
    <row r="13" spans="1:8" s="18" customFormat="1" ht="18.75" customHeight="1" x14ac:dyDescent="0.25">
      <c r="A13" s="40"/>
      <c r="B13" s="40"/>
      <c r="C13" s="38"/>
      <c r="D13" s="38"/>
      <c r="E13" s="38"/>
      <c r="F13" s="38"/>
      <c r="G13" s="40"/>
      <c r="H13" s="40"/>
    </row>
    <row r="14" spans="1:8" s="18" customFormat="1" ht="18.75" customHeight="1" x14ac:dyDescent="0.25">
      <c r="A14" s="40"/>
      <c r="B14" s="40"/>
      <c r="C14" s="38"/>
      <c r="D14" s="38"/>
      <c r="E14" s="38"/>
      <c r="F14" s="38"/>
      <c r="G14" s="40"/>
      <c r="H14" s="40"/>
    </row>
    <row r="15" spans="1:8" s="18" customFormat="1" ht="18.75" customHeight="1" x14ac:dyDescent="0.25">
      <c r="A15" s="40"/>
      <c r="B15" s="40"/>
      <c r="C15" s="38"/>
      <c r="D15" s="38"/>
      <c r="E15" s="38"/>
      <c r="F15" s="38"/>
      <c r="G15" s="40"/>
      <c r="H15" s="40"/>
    </row>
    <row r="16" spans="1:8" s="18" customFormat="1" ht="18.75" customHeight="1" x14ac:dyDescent="0.25">
      <c r="A16" s="40"/>
      <c r="B16" s="40"/>
      <c r="C16" s="603"/>
      <c r="D16" s="604"/>
      <c r="E16" s="604"/>
      <c r="F16" s="604"/>
      <c r="G16" s="40"/>
      <c r="H16" s="40"/>
    </row>
    <row r="17" spans="1:8" s="18" customFormat="1" ht="18.75" customHeight="1" x14ac:dyDescent="0.25">
      <c r="A17" s="40"/>
      <c r="B17" s="40"/>
      <c r="C17" s="603"/>
      <c r="D17" s="604"/>
      <c r="E17" s="604"/>
      <c r="F17" s="604"/>
      <c r="G17" s="40"/>
      <c r="H17" s="40"/>
    </row>
    <row r="18" spans="1:8" s="18" customFormat="1" ht="18.75" customHeight="1" x14ac:dyDescent="0.25">
      <c r="A18" s="40"/>
      <c r="B18" s="40"/>
      <c r="G18" s="40"/>
      <c r="H18" s="40"/>
    </row>
    <row r="19" spans="1:8" s="18" customFormat="1" ht="18.75" customHeight="1" x14ac:dyDescent="0.25">
      <c r="A19" s="40"/>
      <c r="B19" s="40"/>
      <c r="G19" s="40"/>
      <c r="H19" s="40"/>
    </row>
    <row r="20" spans="1:8" s="18" customFormat="1" ht="18.75" customHeight="1" x14ac:dyDescent="0.25">
      <c r="A20" s="40"/>
      <c r="B20" s="40"/>
      <c r="D20" s="483"/>
      <c r="G20" s="40"/>
      <c r="H20" s="40"/>
    </row>
    <row r="21" spans="1:8" s="18" customFormat="1" ht="18.75" customHeight="1" x14ac:dyDescent="0.25">
      <c r="A21" s="40"/>
      <c r="B21" s="40"/>
      <c r="C21" s="603" t="s">
        <v>193</v>
      </c>
      <c r="D21" s="604"/>
      <c r="E21" s="604"/>
      <c r="F21" s="604"/>
      <c r="G21" s="40"/>
      <c r="H21" s="40"/>
    </row>
    <row r="22" spans="1:8" s="18" customFormat="1" ht="18.75" customHeight="1" x14ac:dyDescent="0.25">
      <c r="A22" s="40"/>
      <c r="B22" s="40"/>
      <c r="C22" s="38"/>
      <c r="D22" s="38"/>
      <c r="E22" s="38"/>
      <c r="F22" s="38"/>
      <c r="G22" s="40"/>
      <c r="H22" s="40"/>
    </row>
    <row r="23" spans="1:8" s="18" customFormat="1" ht="18.75" customHeight="1" x14ac:dyDescent="0.25">
      <c r="A23" s="40"/>
      <c r="B23" s="40"/>
      <c r="C23" s="38"/>
      <c r="D23" s="38"/>
      <c r="E23" s="38"/>
      <c r="F23" s="38"/>
      <c r="G23" s="40"/>
      <c r="H23" s="40"/>
    </row>
    <row r="24" spans="1:8" s="18" customFormat="1" ht="18.75" customHeight="1" x14ac:dyDescent="0.25">
      <c r="A24" s="40"/>
      <c r="B24" s="40"/>
      <c r="C24" s="38"/>
      <c r="D24" s="38"/>
      <c r="E24" s="38"/>
      <c r="F24" s="38"/>
      <c r="G24" s="40"/>
      <c r="H24" s="40"/>
    </row>
    <row r="25" spans="1:8" s="18" customFormat="1" ht="18.75" customHeight="1" x14ac:dyDescent="0.25">
      <c r="A25" s="40"/>
      <c r="B25" s="40"/>
      <c r="C25" s="38"/>
      <c r="D25" s="38"/>
      <c r="E25" s="38"/>
      <c r="F25" s="38"/>
      <c r="G25" s="40"/>
      <c r="H25" s="40"/>
    </row>
    <row r="26" spans="1:8" s="18" customFormat="1" ht="18.75" customHeight="1" x14ac:dyDescent="0.25">
      <c r="A26" s="40"/>
      <c r="B26" s="40"/>
      <c r="C26" s="38"/>
      <c r="D26" s="38"/>
      <c r="E26" s="38"/>
      <c r="F26" s="38"/>
      <c r="G26" s="40"/>
      <c r="H26" s="40"/>
    </row>
    <row r="27" spans="1:8" s="18" customFormat="1" ht="18.75" customHeight="1" x14ac:dyDescent="0.25">
      <c r="A27" s="40"/>
      <c r="B27" s="40"/>
      <c r="C27" s="38"/>
      <c r="D27" s="38"/>
      <c r="E27" s="38"/>
      <c r="F27" s="38"/>
      <c r="G27" s="40"/>
      <c r="H27" s="40"/>
    </row>
    <row r="28" spans="1:8" s="18" customFormat="1" ht="18.75" customHeight="1" x14ac:dyDescent="0.25">
      <c r="A28" s="40"/>
      <c r="B28" s="40"/>
      <c r="C28" s="38"/>
      <c r="D28" s="38"/>
      <c r="E28" s="38"/>
      <c r="F28" s="38"/>
      <c r="G28" s="40"/>
      <c r="H28" s="40"/>
    </row>
    <row r="29" spans="1:8" s="18" customFormat="1" ht="18.75" customHeight="1" x14ac:dyDescent="0.25">
      <c r="A29" s="40"/>
      <c r="B29" s="40"/>
      <c r="G29" s="40"/>
      <c r="H29" s="40"/>
    </row>
    <row r="30" spans="1:8" s="18" customFormat="1" ht="18.75" customHeight="1" x14ac:dyDescent="0.25">
      <c r="A30" s="40"/>
      <c r="B30" s="40"/>
      <c r="G30" s="40"/>
      <c r="H30" s="40"/>
    </row>
    <row r="31" spans="1:8" s="18" customFormat="1" ht="18.75" customHeight="1" x14ac:dyDescent="0.25">
      <c r="A31" s="40"/>
      <c r="B31" s="40"/>
      <c r="G31" s="40"/>
      <c r="H31" s="40"/>
    </row>
    <row r="32" spans="1:8" s="18" customFormat="1" x14ac:dyDescent="0.25">
      <c r="A32" s="40"/>
      <c r="B32" s="40"/>
      <c r="G32" s="40"/>
      <c r="H32" s="40"/>
    </row>
    <row r="33" x14ac:dyDescent="0.25"/>
  </sheetData>
  <sheetProtection selectLockedCells="1" selectUnlockedCells="1"/>
  <mergeCells count="8">
    <mergeCell ref="A1:XFD4"/>
    <mergeCell ref="C7:F9"/>
    <mergeCell ref="C21:F21"/>
    <mergeCell ref="C11:F11"/>
    <mergeCell ref="C17:F17"/>
    <mergeCell ref="C16:F16"/>
    <mergeCell ref="C5:D5"/>
    <mergeCell ref="F5:G5"/>
  </mergeCells>
  <pageMargins left="0.7" right="0.7" top="0.75" bottom="0.75" header="0.3" footer="0.3"/>
  <pageSetup orientation="portrait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00D86A-9B13-4205-BBEC-D4A4B2459C55}">
  <sheetPr codeName="Sheet26"/>
  <dimension ref="A1:P96"/>
  <sheetViews>
    <sheetView topLeftCell="A74" workbookViewId="0">
      <selection activeCell="B59" sqref="B59"/>
    </sheetView>
  </sheetViews>
  <sheetFormatPr defaultRowHeight="15" x14ac:dyDescent="0.25"/>
  <cols>
    <col min="1" max="1" width="14.5703125" customWidth="1"/>
    <col min="3" max="3" width="14.42578125" bestFit="1" customWidth="1"/>
    <col min="5" max="5" width="14.42578125" bestFit="1" customWidth="1"/>
    <col min="6" max="6" width="14.28515625" bestFit="1" customWidth="1"/>
    <col min="11" max="11" width="14.42578125" bestFit="1" customWidth="1"/>
    <col min="15" max="15" width="14.85546875" customWidth="1"/>
  </cols>
  <sheetData>
    <row r="1" spans="1:16" x14ac:dyDescent="0.25">
      <c r="A1" t="s">
        <v>421</v>
      </c>
      <c r="B1" t="s">
        <v>419</v>
      </c>
      <c r="C1" t="s">
        <v>382</v>
      </c>
      <c r="E1" t="s">
        <v>422</v>
      </c>
      <c r="F1" t="s">
        <v>421</v>
      </c>
      <c r="G1" t="s">
        <v>419</v>
      </c>
      <c r="H1" t="s">
        <v>382</v>
      </c>
      <c r="J1" t="s">
        <v>425</v>
      </c>
      <c r="K1" t="s">
        <v>421</v>
      </c>
      <c r="L1" t="s">
        <v>382</v>
      </c>
      <c r="N1" t="s">
        <v>427</v>
      </c>
      <c r="O1" t="s">
        <v>421</v>
      </c>
      <c r="P1" t="s">
        <v>382</v>
      </c>
    </row>
    <row r="2" spans="1:16" x14ac:dyDescent="0.25">
      <c r="A2" t="s">
        <v>415</v>
      </c>
      <c r="B2" t="s">
        <v>135</v>
      </c>
      <c r="C2">
        <v>10</v>
      </c>
      <c r="F2" t="s">
        <v>415</v>
      </c>
      <c r="G2" s="363" t="s">
        <v>185</v>
      </c>
      <c r="H2">
        <v>7.5</v>
      </c>
      <c r="K2" t="s">
        <v>415</v>
      </c>
      <c r="L2">
        <v>2</v>
      </c>
      <c r="O2" t="s">
        <v>415</v>
      </c>
      <c r="P2">
        <v>175</v>
      </c>
    </row>
    <row r="3" spans="1:16" x14ac:dyDescent="0.25">
      <c r="A3" t="s">
        <v>415</v>
      </c>
      <c r="B3" t="s">
        <v>136</v>
      </c>
      <c r="C3">
        <v>13</v>
      </c>
      <c r="F3" t="s">
        <v>415</v>
      </c>
      <c r="G3" s="363" t="s">
        <v>186</v>
      </c>
      <c r="H3">
        <v>10</v>
      </c>
      <c r="K3" t="s">
        <v>416</v>
      </c>
      <c r="L3">
        <v>2.2000000000000002</v>
      </c>
      <c r="O3" t="s">
        <v>416</v>
      </c>
      <c r="P3">
        <v>500</v>
      </c>
    </row>
    <row r="4" spans="1:16" x14ac:dyDescent="0.25">
      <c r="A4" t="s">
        <v>415</v>
      </c>
      <c r="B4" t="s">
        <v>137</v>
      </c>
      <c r="C4">
        <v>22.5</v>
      </c>
      <c r="F4" t="s">
        <v>415</v>
      </c>
      <c r="G4" s="363" t="s">
        <v>187</v>
      </c>
      <c r="H4">
        <v>13</v>
      </c>
      <c r="K4" t="s">
        <v>417</v>
      </c>
      <c r="L4">
        <v>2</v>
      </c>
      <c r="O4" t="s">
        <v>417</v>
      </c>
      <c r="P4">
        <v>200</v>
      </c>
    </row>
    <row r="5" spans="1:16" x14ac:dyDescent="0.25">
      <c r="A5" t="s">
        <v>415</v>
      </c>
      <c r="B5" t="s">
        <v>138</v>
      </c>
      <c r="C5">
        <v>24.5</v>
      </c>
      <c r="F5" t="s">
        <v>415</v>
      </c>
      <c r="G5" s="363" t="s">
        <v>188</v>
      </c>
      <c r="H5">
        <v>18</v>
      </c>
      <c r="K5" t="s">
        <v>409</v>
      </c>
      <c r="L5">
        <v>2</v>
      </c>
      <c r="O5" t="s">
        <v>409</v>
      </c>
      <c r="P5">
        <v>100</v>
      </c>
    </row>
    <row r="6" spans="1:16" x14ac:dyDescent="0.25">
      <c r="A6" t="s">
        <v>415</v>
      </c>
      <c r="B6" t="s">
        <v>139</v>
      </c>
      <c r="C6">
        <v>28.5</v>
      </c>
      <c r="F6" t="s">
        <v>415</v>
      </c>
      <c r="G6" s="363" t="s">
        <v>189</v>
      </c>
      <c r="H6">
        <v>25</v>
      </c>
      <c r="K6" t="s">
        <v>410</v>
      </c>
      <c r="L6">
        <v>2.5</v>
      </c>
      <c r="O6" t="s">
        <v>410</v>
      </c>
      <c r="P6">
        <v>115</v>
      </c>
    </row>
    <row r="7" spans="1:16" x14ac:dyDescent="0.25">
      <c r="A7" t="s">
        <v>415</v>
      </c>
      <c r="B7" t="s">
        <v>140</v>
      </c>
      <c r="C7">
        <v>32.5</v>
      </c>
      <c r="F7" t="s">
        <v>416</v>
      </c>
      <c r="G7" s="363" t="s">
        <v>185</v>
      </c>
      <c r="H7" s="193">
        <v>8</v>
      </c>
    </row>
    <row r="8" spans="1:16" x14ac:dyDescent="0.25">
      <c r="A8" t="s">
        <v>415</v>
      </c>
      <c r="B8" t="s">
        <v>141</v>
      </c>
      <c r="C8">
        <v>34.5</v>
      </c>
      <c r="F8" t="s">
        <v>416</v>
      </c>
      <c r="G8" s="363" t="s">
        <v>186</v>
      </c>
      <c r="H8" s="193">
        <v>10.5</v>
      </c>
    </row>
    <row r="9" spans="1:16" x14ac:dyDescent="0.25">
      <c r="A9" t="s">
        <v>415</v>
      </c>
      <c r="B9" t="s">
        <v>142</v>
      </c>
      <c r="C9">
        <v>43.5</v>
      </c>
      <c r="F9" t="s">
        <v>416</v>
      </c>
      <c r="G9" s="363" t="s">
        <v>187</v>
      </c>
      <c r="H9" s="193">
        <v>14</v>
      </c>
    </row>
    <row r="10" spans="1:16" x14ac:dyDescent="0.25">
      <c r="A10" t="s">
        <v>415</v>
      </c>
      <c r="B10" t="s">
        <v>143</v>
      </c>
      <c r="C10">
        <v>51.5</v>
      </c>
      <c r="F10" t="s">
        <v>416</v>
      </c>
      <c r="G10" s="363" t="s">
        <v>188</v>
      </c>
      <c r="H10" s="193">
        <v>20</v>
      </c>
    </row>
    <row r="11" spans="1:16" x14ac:dyDescent="0.25">
      <c r="A11" t="s">
        <v>415</v>
      </c>
      <c r="B11" t="s">
        <v>144</v>
      </c>
      <c r="C11">
        <v>63</v>
      </c>
      <c r="F11" t="s">
        <v>416</v>
      </c>
      <c r="G11" s="363" t="s">
        <v>189</v>
      </c>
      <c r="H11" s="193">
        <v>25</v>
      </c>
    </row>
    <row r="12" spans="1:16" x14ac:dyDescent="0.25">
      <c r="A12" t="s">
        <v>415</v>
      </c>
      <c r="B12" t="s">
        <v>145</v>
      </c>
      <c r="C12">
        <v>80</v>
      </c>
      <c r="F12" t="s">
        <v>417</v>
      </c>
      <c r="G12" s="363" t="s">
        <v>185</v>
      </c>
      <c r="H12" t="s">
        <v>426</v>
      </c>
    </row>
    <row r="13" spans="1:16" x14ac:dyDescent="0.25">
      <c r="A13" t="s">
        <v>415</v>
      </c>
      <c r="B13" t="s">
        <v>146</v>
      </c>
      <c r="C13">
        <v>93</v>
      </c>
      <c r="F13" t="s">
        <v>417</v>
      </c>
      <c r="G13" s="363" t="s">
        <v>186</v>
      </c>
      <c r="H13" t="s">
        <v>426</v>
      </c>
    </row>
    <row r="14" spans="1:16" x14ac:dyDescent="0.25">
      <c r="A14" t="s">
        <v>415</v>
      </c>
      <c r="B14" t="s">
        <v>147</v>
      </c>
      <c r="C14">
        <v>103</v>
      </c>
      <c r="F14" t="s">
        <v>417</v>
      </c>
      <c r="G14" s="363" t="s">
        <v>187</v>
      </c>
      <c r="H14" t="s">
        <v>426</v>
      </c>
    </row>
    <row r="15" spans="1:16" x14ac:dyDescent="0.25">
      <c r="A15" t="s">
        <v>415</v>
      </c>
      <c r="B15" t="s">
        <v>148</v>
      </c>
      <c r="C15">
        <v>114</v>
      </c>
      <c r="F15" t="s">
        <v>417</v>
      </c>
      <c r="G15" s="363" t="s">
        <v>188</v>
      </c>
      <c r="H15" t="s">
        <v>426</v>
      </c>
    </row>
    <row r="16" spans="1:16" x14ac:dyDescent="0.25">
      <c r="A16" t="s">
        <v>415</v>
      </c>
      <c r="B16" t="s">
        <v>149</v>
      </c>
      <c r="C16">
        <v>125</v>
      </c>
      <c r="F16" t="s">
        <v>417</v>
      </c>
      <c r="G16" s="363" t="s">
        <v>189</v>
      </c>
      <c r="H16" t="s">
        <v>426</v>
      </c>
    </row>
    <row r="17" spans="1:9" x14ac:dyDescent="0.25">
      <c r="A17" t="s">
        <v>415</v>
      </c>
      <c r="B17" t="s">
        <v>150</v>
      </c>
      <c r="C17" t="s">
        <v>426</v>
      </c>
      <c r="F17" t="s">
        <v>409</v>
      </c>
      <c r="G17" s="363" t="s">
        <v>185</v>
      </c>
      <c r="H17" t="s">
        <v>426</v>
      </c>
      <c r="I17" s="424"/>
    </row>
    <row r="18" spans="1:9" x14ac:dyDescent="0.25">
      <c r="A18" t="s">
        <v>415</v>
      </c>
      <c r="B18" t="s">
        <v>151</v>
      </c>
      <c r="C18" t="s">
        <v>426</v>
      </c>
      <c r="F18" t="s">
        <v>409</v>
      </c>
      <c r="G18" s="363" t="s">
        <v>186</v>
      </c>
      <c r="H18" t="s">
        <v>426</v>
      </c>
    </row>
    <row r="19" spans="1:9" x14ac:dyDescent="0.25">
      <c r="A19" t="s">
        <v>415</v>
      </c>
      <c r="B19" t="s">
        <v>152</v>
      </c>
      <c r="C19" t="s">
        <v>426</v>
      </c>
      <c r="F19" t="s">
        <v>409</v>
      </c>
      <c r="G19" s="363" t="s">
        <v>187</v>
      </c>
      <c r="H19" t="s">
        <v>426</v>
      </c>
    </row>
    <row r="20" spans="1:9" x14ac:dyDescent="0.25">
      <c r="A20" t="s">
        <v>415</v>
      </c>
      <c r="B20" t="s">
        <v>153</v>
      </c>
      <c r="C20" t="s">
        <v>426</v>
      </c>
      <c r="F20" t="s">
        <v>409</v>
      </c>
      <c r="G20" s="363" t="s">
        <v>188</v>
      </c>
      <c r="H20" t="s">
        <v>426</v>
      </c>
    </row>
    <row r="21" spans="1:9" x14ac:dyDescent="0.25">
      <c r="A21" t="s">
        <v>416</v>
      </c>
      <c r="B21" t="s">
        <v>135</v>
      </c>
      <c r="C21">
        <v>15</v>
      </c>
      <c r="F21" t="s">
        <v>409</v>
      </c>
      <c r="G21" s="363" t="s">
        <v>189</v>
      </c>
      <c r="H21" t="s">
        <v>426</v>
      </c>
    </row>
    <row r="22" spans="1:9" x14ac:dyDescent="0.25">
      <c r="A22" t="s">
        <v>416</v>
      </c>
      <c r="B22" t="s">
        <v>136</v>
      </c>
      <c r="C22">
        <v>18</v>
      </c>
      <c r="F22" t="s">
        <v>410</v>
      </c>
      <c r="G22" s="363" t="s">
        <v>185</v>
      </c>
      <c r="H22" t="s">
        <v>426</v>
      </c>
    </row>
    <row r="23" spans="1:9" x14ac:dyDescent="0.25">
      <c r="A23" t="s">
        <v>416</v>
      </c>
      <c r="B23" t="s">
        <v>137</v>
      </c>
      <c r="C23">
        <v>26.5</v>
      </c>
      <c r="F23" t="s">
        <v>410</v>
      </c>
      <c r="G23" s="363" t="s">
        <v>186</v>
      </c>
      <c r="H23" t="s">
        <v>426</v>
      </c>
    </row>
    <row r="24" spans="1:9" x14ac:dyDescent="0.25">
      <c r="A24" t="s">
        <v>416</v>
      </c>
      <c r="B24" t="s">
        <v>138</v>
      </c>
      <c r="C24">
        <v>31</v>
      </c>
      <c r="F24" t="s">
        <v>410</v>
      </c>
      <c r="G24" s="363" t="s">
        <v>187</v>
      </c>
      <c r="H24" t="s">
        <v>426</v>
      </c>
    </row>
    <row r="25" spans="1:9" x14ac:dyDescent="0.25">
      <c r="A25" t="s">
        <v>416</v>
      </c>
      <c r="B25" t="s">
        <v>139</v>
      </c>
      <c r="C25">
        <v>34</v>
      </c>
      <c r="F25" t="s">
        <v>410</v>
      </c>
      <c r="G25" s="363" t="s">
        <v>188</v>
      </c>
      <c r="H25" t="s">
        <v>426</v>
      </c>
    </row>
    <row r="26" spans="1:9" x14ac:dyDescent="0.25">
      <c r="A26" t="s">
        <v>416</v>
      </c>
      <c r="B26" t="s">
        <v>140</v>
      </c>
      <c r="C26">
        <v>43</v>
      </c>
      <c r="F26" t="s">
        <v>410</v>
      </c>
      <c r="G26" s="363" t="s">
        <v>189</v>
      </c>
      <c r="H26" t="s">
        <v>426</v>
      </c>
    </row>
    <row r="27" spans="1:9" x14ac:dyDescent="0.25">
      <c r="A27" t="s">
        <v>416</v>
      </c>
      <c r="B27" t="s">
        <v>141</v>
      </c>
      <c r="C27">
        <v>45</v>
      </c>
    </row>
    <row r="28" spans="1:9" x14ac:dyDescent="0.25">
      <c r="A28" t="s">
        <v>416</v>
      </c>
      <c r="B28" t="s">
        <v>142</v>
      </c>
      <c r="C28">
        <v>52.5</v>
      </c>
    </row>
    <row r="29" spans="1:9" x14ac:dyDescent="0.25">
      <c r="A29" t="s">
        <v>416</v>
      </c>
      <c r="B29" t="s">
        <v>143</v>
      </c>
      <c r="C29">
        <v>57.5</v>
      </c>
    </row>
    <row r="30" spans="1:9" x14ac:dyDescent="0.25">
      <c r="A30" t="s">
        <v>416</v>
      </c>
      <c r="B30" t="s">
        <v>144</v>
      </c>
      <c r="C30">
        <v>68</v>
      </c>
    </row>
    <row r="31" spans="1:9" x14ac:dyDescent="0.25">
      <c r="A31" t="s">
        <v>416</v>
      </c>
      <c r="B31" t="s">
        <v>145</v>
      </c>
      <c r="C31">
        <v>79</v>
      </c>
    </row>
    <row r="32" spans="1:9" x14ac:dyDescent="0.25">
      <c r="A32" t="s">
        <v>416</v>
      </c>
      <c r="B32" t="s">
        <v>146</v>
      </c>
      <c r="C32">
        <v>86</v>
      </c>
    </row>
    <row r="33" spans="1:3" x14ac:dyDescent="0.25">
      <c r="A33" t="s">
        <v>416</v>
      </c>
      <c r="B33" t="s">
        <v>147</v>
      </c>
      <c r="C33">
        <v>110</v>
      </c>
    </row>
    <row r="34" spans="1:3" x14ac:dyDescent="0.25">
      <c r="A34" t="s">
        <v>416</v>
      </c>
      <c r="B34" t="s">
        <v>148</v>
      </c>
      <c r="C34">
        <v>145</v>
      </c>
    </row>
    <row r="35" spans="1:3" x14ac:dyDescent="0.25">
      <c r="A35" t="s">
        <v>416</v>
      </c>
      <c r="B35" t="s">
        <v>149</v>
      </c>
      <c r="C35">
        <v>175</v>
      </c>
    </row>
    <row r="36" spans="1:3" x14ac:dyDescent="0.25">
      <c r="A36" t="s">
        <v>416</v>
      </c>
      <c r="B36" t="s">
        <v>150</v>
      </c>
      <c r="C36" t="s">
        <v>426</v>
      </c>
    </row>
    <row r="37" spans="1:3" x14ac:dyDescent="0.25">
      <c r="A37" t="s">
        <v>416</v>
      </c>
      <c r="B37" t="s">
        <v>151</v>
      </c>
      <c r="C37" t="s">
        <v>426</v>
      </c>
    </row>
    <row r="38" spans="1:3" x14ac:dyDescent="0.25">
      <c r="A38" t="s">
        <v>416</v>
      </c>
      <c r="B38" t="s">
        <v>152</v>
      </c>
      <c r="C38" t="s">
        <v>426</v>
      </c>
    </row>
    <row r="39" spans="1:3" x14ac:dyDescent="0.25">
      <c r="A39" t="s">
        <v>416</v>
      </c>
      <c r="B39" t="s">
        <v>153</v>
      </c>
      <c r="C39" t="s">
        <v>426</v>
      </c>
    </row>
    <row r="40" spans="1:3" x14ac:dyDescent="0.25">
      <c r="A40" t="s">
        <v>417</v>
      </c>
      <c r="B40" t="s">
        <v>135</v>
      </c>
      <c r="C40">
        <v>8.5</v>
      </c>
    </row>
    <row r="41" spans="1:3" x14ac:dyDescent="0.25">
      <c r="A41" t="s">
        <v>417</v>
      </c>
      <c r="B41" t="s">
        <v>136</v>
      </c>
      <c r="C41">
        <v>9.5</v>
      </c>
    </row>
    <row r="42" spans="1:3" x14ac:dyDescent="0.25">
      <c r="A42" t="s">
        <v>417</v>
      </c>
      <c r="B42" t="s">
        <v>137</v>
      </c>
      <c r="C42">
        <v>11</v>
      </c>
    </row>
    <row r="43" spans="1:3" x14ac:dyDescent="0.25">
      <c r="A43" t="s">
        <v>417</v>
      </c>
      <c r="B43" t="s">
        <v>138</v>
      </c>
      <c r="C43">
        <v>12.65</v>
      </c>
    </row>
    <row r="44" spans="1:3" x14ac:dyDescent="0.25">
      <c r="A44" t="s">
        <v>417</v>
      </c>
      <c r="B44" t="s">
        <v>139</v>
      </c>
      <c r="C44">
        <v>13.5</v>
      </c>
    </row>
    <row r="45" spans="1:3" x14ac:dyDescent="0.25">
      <c r="A45" t="s">
        <v>417</v>
      </c>
      <c r="B45" t="s">
        <v>140</v>
      </c>
      <c r="C45">
        <v>15.5</v>
      </c>
    </row>
    <row r="46" spans="1:3" x14ac:dyDescent="0.25">
      <c r="A46" t="s">
        <v>417</v>
      </c>
      <c r="B46" t="s">
        <v>141</v>
      </c>
      <c r="C46">
        <v>18.5</v>
      </c>
    </row>
    <row r="47" spans="1:3" x14ac:dyDescent="0.25">
      <c r="A47" t="s">
        <v>417</v>
      </c>
      <c r="B47" t="s">
        <v>142</v>
      </c>
      <c r="C47">
        <v>24.5</v>
      </c>
    </row>
    <row r="48" spans="1:3" x14ac:dyDescent="0.25">
      <c r="A48" t="s">
        <v>417</v>
      </c>
      <c r="B48" t="s">
        <v>143</v>
      </c>
      <c r="C48">
        <v>31.25</v>
      </c>
    </row>
    <row r="49" spans="1:3" x14ac:dyDescent="0.25">
      <c r="A49" t="s">
        <v>417</v>
      </c>
      <c r="B49" t="s">
        <v>144</v>
      </c>
      <c r="C49">
        <v>41</v>
      </c>
    </row>
    <row r="50" spans="1:3" x14ac:dyDescent="0.25">
      <c r="A50" t="s">
        <v>417</v>
      </c>
      <c r="B50" t="s">
        <v>145</v>
      </c>
      <c r="C50">
        <v>49</v>
      </c>
    </row>
    <row r="51" spans="1:3" x14ac:dyDescent="0.25">
      <c r="A51" t="s">
        <v>417</v>
      </c>
      <c r="B51" t="s">
        <v>146</v>
      </c>
      <c r="C51">
        <v>57</v>
      </c>
    </row>
    <row r="52" spans="1:3" x14ac:dyDescent="0.25">
      <c r="A52" t="s">
        <v>417</v>
      </c>
      <c r="B52" t="s">
        <v>147</v>
      </c>
      <c r="C52">
        <v>66</v>
      </c>
    </row>
    <row r="53" spans="1:3" x14ac:dyDescent="0.25">
      <c r="A53" t="s">
        <v>417</v>
      </c>
      <c r="B53" t="s">
        <v>148</v>
      </c>
      <c r="C53">
        <v>87</v>
      </c>
    </row>
    <row r="54" spans="1:3" x14ac:dyDescent="0.25">
      <c r="A54" t="s">
        <v>417</v>
      </c>
      <c r="B54" t="s">
        <v>149</v>
      </c>
      <c r="C54">
        <v>93.5</v>
      </c>
    </row>
    <row r="55" spans="1:3" x14ac:dyDescent="0.25">
      <c r="A55" t="s">
        <v>417</v>
      </c>
      <c r="B55" t="s">
        <v>150</v>
      </c>
      <c r="C55">
        <v>107</v>
      </c>
    </row>
    <row r="56" spans="1:3" x14ac:dyDescent="0.25">
      <c r="A56" t="s">
        <v>417</v>
      </c>
      <c r="B56" t="s">
        <v>151</v>
      </c>
      <c r="C56">
        <v>120</v>
      </c>
    </row>
    <row r="57" spans="1:3" x14ac:dyDescent="0.25">
      <c r="A57" t="s">
        <v>417</v>
      </c>
      <c r="B57" t="s">
        <v>152</v>
      </c>
      <c r="C57">
        <v>129</v>
      </c>
    </row>
    <row r="58" spans="1:3" x14ac:dyDescent="0.25">
      <c r="A58" t="s">
        <v>417</v>
      </c>
      <c r="B58" t="s">
        <v>153</v>
      </c>
      <c r="C58">
        <v>165</v>
      </c>
    </row>
    <row r="59" spans="1:3" x14ac:dyDescent="0.25">
      <c r="A59" t="s">
        <v>409</v>
      </c>
      <c r="B59" t="s">
        <v>135</v>
      </c>
      <c r="C59">
        <v>8.5</v>
      </c>
    </row>
    <row r="60" spans="1:3" x14ac:dyDescent="0.25">
      <c r="A60" t="s">
        <v>409</v>
      </c>
      <c r="B60" t="s">
        <v>136</v>
      </c>
      <c r="C60">
        <v>9.5</v>
      </c>
    </row>
    <row r="61" spans="1:3" x14ac:dyDescent="0.25">
      <c r="A61" t="s">
        <v>409</v>
      </c>
      <c r="B61" t="s">
        <v>137</v>
      </c>
      <c r="C61">
        <v>11</v>
      </c>
    </row>
    <row r="62" spans="1:3" x14ac:dyDescent="0.25">
      <c r="A62" t="s">
        <v>409</v>
      </c>
      <c r="B62" t="s">
        <v>138</v>
      </c>
      <c r="C62">
        <v>12.65</v>
      </c>
    </row>
    <row r="63" spans="1:3" x14ac:dyDescent="0.25">
      <c r="A63" t="s">
        <v>409</v>
      </c>
      <c r="B63" t="s">
        <v>139</v>
      </c>
      <c r="C63">
        <v>13.5</v>
      </c>
    </row>
    <row r="64" spans="1:3" x14ac:dyDescent="0.25">
      <c r="A64" t="s">
        <v>409</v>
      </c>
      <c r="B64" t="s">
        <v>140</v>
      </c>
      <c r="C64">
        <v>15.5</v>
      </c>
    </row>
    <row r="65" spans="1:3" x14ac:dyDescent="0.25">
      <c r="A65" t="s">
        <v>409</v>
      </c>
      <c r="B65" t="s">
        <v>141</v>
      </c>
      <c r="C65">
        <v>18.5</v>
      </c>
    </row>
    <row r="66" spans="1:3" x14ac:dyDescent="0.25">
      <c r="A66" t="s">
        <v>409</v>
      </c>
      <c r="B66" t="s">
        <v>142</v>
      </c>
      <c r="C66">
        <v>24.5</v>
      </c>
    </row>
    <row r="67" spans="1:3" x14ac:dyDescent="0.25">
      <c r="A67" t="s">
        <v>409</v>
      </c>
      <c r="B67" t="s">
        <v>143</v>
      </c>
      <c r="C67">
        <v>31.25</v>
      </c>
    </row>
    <row r="68" spans="1:3" x14ac:dyDescent="0.25">
      <c r="A68" t="s">
        <v>409</v>
      </c>
      <c r="B68" t="s">
        <v>144</v>
      </c>
      <c r="C68">
        <v>41</v>
      </c>
    </row>
    <row r="69" spans="1:3" x14ac:dyDescent="0.25">
      <c r="A69" t="s">
        <v>409</v>
      </c>
      <c r="B69" t="s">
        <v>145</v>
      </c>
      <c r="C69">
        <v>49</v>
      </c>
    </row>
    <row r="70" spans="1:3" x14ac:dyDescent="0.25">
      <c r="A70" t="s">
        <v>409</v>
      </c>
      <c r="B70" t="s">
        <v>146</v>
      </c>
      <c r="C70">
        <v>57</v>
      </c>
    </row>
    <row r="71" spans="1:3" x14ac:dyDescent="0.25">
      <c r="A71" t="s">
        <v>409</v>
      </c>
      <c r="B71" t="s">
        <v>147</v>
      </c>
      <c r="C71">
        <v>66</v>
      </c>
    </row>
    <row r="72" spans="1:3" x14ac:dyDescent="0.25">
      <c r="A72" t="s">
        <v>409</v>
      </c>
      <c r="B72" t="s">
        <v>148</v>
      </c>
      <c r="C72">
        <v>87</v>
      </c>
    </row>
    <row r="73" spans="1:3" x14ac:dyDescent="0.25">
      <c r="A73" t="s">
        <v>409</v>
      </c>
      <c r="B73" t="s">
        <v>149</v>
      </c>
      <c r="C73">
        <v>93.5</v>
      </c>
    </row>
    <row r="74" spans="1:3" x14ac:dyDescent="0.25">
      <c r="A74" t="s">
        <v>409</v>
      </c>
      <c r="B74" t="s">
        <v>150</v>
      </c>
      <c r="C74">
        <v>107</v>
      </c>
    </row>
    <row r="75" spans="1:3" x14ac:dyDescent="0.25">
      <c r="A75" t="s">
        <v>409</v>
      </c>
      <c r="B75" t="s">
        <v>151</v>
      </c>
      <c r="C75">
        <v>120</v>
      </c>
    </row>
    <row r="76" spans="1:3" x14ac:dyDescent="0.25">
      <c r="A76" t="s">
        <v>409</v>
      </c>
      <c r="B76" t="s">
        <v>152</v>
      </c>
      <c r="C76">
        <v>129</v>
      </c>
    </row>
    <row r="77" spans="1:3" x14ac:dyDescent="0.25">
      <c r="A77" t="s">
        <v>409</v>
      </c>
      <c r="B77" t="s">
        <v>153</v>
      </c>
      <c r="C77">
        <v>165</v>
      </c>
    </row>
    <row r="78" spans="1:3" x14ac:dyDescent="0.25">
      <c r="A78" t="s">
        <v>410</v>
      </c>
      <c r="B78" t="s">
        <v>135</v>
      </c>
      <c r="C78">
        <v>7</v>
      </c>
    </row>
    <row r="79" spans="1:3" x14ac:dyDescent="0.25">
      <c r="A79" t="s">
        <v>410</v>
      </c>
      <c r="B79" t="s">
        <v>136</v>
      </c>
      <c r="C79">
        <v>7.5</v>
      </c>
    </row>
    <row r="80" spans="1:3" x14ac:dyDescent="0.25">
      <c r="A80" t="s">
        <v>410</v>
      </c>
      <c r="B80" t="s">
        <v>137</v>
      </c>
      <c r="C80">
        <v>9</v>
      </c>
    </row>
    <row r="81" spans="1:3" x14ac:dyDescent="0.25">
      <c r="A81" t="s">
        <v>410</v>
      </c>
      <c r="B81" t="s">
        <v>138</v>
      </c>
      <c r="C81">
        <v>10</v>
      </c>
    </row>
    <row r="82" spans="1:3" x14ac:dyDescent="0.25">
      <c r="A82" t="s">
        <v>410</v>
      </c>
      <c r="B82" t="s">
        <v>139</v>
      </c>
      <c r="C82">
        <v>11</v>
      </c>
    </row>
    <row r="83" spans="1:3" x14ac:dyDescent="0.25">
      <c r="A83" t="s">
        <v>410</v>
      </c>
      <c r="B83" t="s">
        <v>140</v>
      </c>
      <c r="C83">
        <v>12</v>
      </c>
    </row>
    <row r="84" spans="1:3" x14ac:dyDescent="0.25">
      <c r="A84" t="s">
        <v>410</v>
      </c>
      <c r="B84" t="s">
        <v>141</v>
      </c>
      <c r="C84">
        <v>13.5</v>
      </c>
    </row>
    <row r="85" spans="1:3" x14ac:dyDescent="0.25">
      <c r="A85" t="s">
        <v>410</v>
      </c>
      <c r="B85" t="s">
        <v>142</v>
      </c>
      <c r="C85">
        <v>18</v>
      </c>
    </row>
    <row r="86" spans="1:3" x14ac:dyDescent="0.25">
      <c r="A86" t="s">
        <v>410</v>
      </c>
      <c r="B86" t="s">
        <v>143</v>
      </c>
      <c r="C86">
        <v>23</v>
      </c>
    </row>
    <row r="87" spans="1:3" x14ac:dyDescent="0.25">
      <c r="A87" t="s">
        <v>410</v>
      </c>
      <c r="B87" t="s">
        <v>144</v>
      </c>
      <c r="C87">
        <v>29</v>
      </c>
    </row>
    <row r="88" spans="1:3" x14ac:dyDescent="0.25">
      <c r="A88" t="s">
        <v>410</v>
      </c>
      <c r="B88" t="s">
        <v>145</v>
      </c>
      <c r="C88">
        <v>36</v>
      </c>
    </row>
    <row r="89" spans="1:3" x14ac:dyDescent="0.25">
      <c r="A89" t="s">
        <v>410</v>
      </c>
      <c r="B89" t="s">
        <v>146</v>
      </c>
      <c r="C89">
        <v>42.5</v>
      </c>
    </row>
    <row r="90" spans="1:3" x14ac:dyDescent="0.25">
      <c r="A90" t="s">
        <v>410</v>
      </c>
      <c r="B90" t="s">
        <v>147</v>
      </c>
      <c r="C90">
        <v>49</v>
      </c>
    </row>
    <row r="91" spans="1:3" x14ac:dyDescent="0.25">
      <c r="A91" t="s">
        <v>410</v>
      </c>
      <c r="B91" t="s">
        <v>148</v>
      </c>
      <c r="C91">
        <v>65</v>
      </c>
    </row>
    <row r="92" spans="1:3" x14ac:dyDescent="0.25">
      <c r="A92" t="s">
        <v>410</v>
      </c>
      <c r="B92" t="s">
        <v>149</v>
      </c>
      <c r="C92">
        <v>70</v>
      </c>
    </row>
    <row r="93" spans="1:3" x14ac:dyDescent="0.25">
      <c r="A93" t="s">
        <v>410</v>
      </c>
      <c r="B93" t="s">
        <v>150</v>
      </c>
      <c r="C93">
        <v>80</v>
      </c>
    </row>
    <row r="94" spans="1:3" x14ac:dyDescent="0.25">
      <c r="A94" t="s">
        <v>410</v>
      </c>
      <c r="B94" t="s">
        <v>151</v>
      </c>
      <c r="C94">
        <v>86</v>
      </c>
    </row>
    <row r="95" spans="1:3" x14ac:dyDescent="0.25">
      <c r="A95" t="s">
        <v>410</v>
      </c>
      <c r="B95" t="s">
        <v>152</v>
      </c>
      <c r="C95">
        <v>95</v>
      </c>
    </row>
    <row r="96" spans="1:3" x14ac:dyDescent="0.25">
      <c r="A96" t="s">
        <v>410</v>
      </c>
      <c r="B96" t="s">
        <v>153</v>
      </c>
      <c r="C96">
        <v>120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>
    <pageSetUpPr fitToPage="1"/>
  </sheetPr>
  <dimension ref="A1:V29"/>
  <sheetViews>
    <sheetView workbookViewId="0">
      <selection activeCell="J14" sqref="J14"/>
    </sheetView>
  </sheetViews>
  <sheetFormatPr defaultRowHeight="15" x14ac:dyDescent="0.25"/>
  <sheetData>
    <row r="1" spans="1:22" x14ac:dyDescent="0.25">
      <c r="A1" s="1"/>
      <c r="B1" s="1">
        <v>1</v>
      </c>
      <c r="C1" s="1">
        <v>12.1</v>
      </c>
      <c r="D1" s="1">
        <v>16</v>
      </c>
      <c r="E1" s="1">
        <v>16.100000000000001</v>
      </c>
      <c r="F1" s="1">
        <v>18</v>
      </c>
      <c r="G1" s="1">
        <v>18.100000000000001</v>
      </c>
      <c r="H1" s="1">
        <v>24</v>
      </c>
      <c r="I1" s="1">
        <v>24.1</v>
      </c>
      <c r="J1" s="1">
        <v>32</v>
      </c>
      <c r="K1" s="1">
        <v>32.1</v>
      </c>
      <c r="L1" s="1">
        <v>36</v>
      </c>
      <c r="M1" s="1">
        <v>36.1</v>
      </c>
      <c r="N1" s="1">
        <v>48</v>
      </c>
      <c r="O1" s="1">
        <v>48.1</v>
      </c>
      <c r="P1" s="1">
        <v>60</v>
      </c>
      <c r="Q1" s="1">
        <v>60.1</v>
      </c>
      <c r="R1" s="1">
        <v>72</v>
      </c>
      <c r="S1" s="1">
        <v>72.099999999999994</v>
      </c>
      <c r="T1" s="1">
        <v>96</v>
      </c>
      <c r="U1" s="1">
        <v>96.1</v>
      </c>
      <c r="V1" s="1">
        <v>120</v>
      </c>
    </row>
    <row r="2" spans="1:22" x14ac:dyDescent="0.25">
      <c r="A2" s="4" t="s">
        <v>24</v>
      </c>
      <c r="B2" s="6">
        <v>2</v>
      </c>
      <c r="C2" s="6">
        <v>3</v>
      </c>
      <c r="D2" s="5">
        <v>4</v>
      </c>
      <c r="E2" s="6">
        <v>5</v>
      </c>
      <c r="F2" s="6">
        <v>6</v>
      </c>
      <c r="G2" s="5">
        <v>7</v>
      </c>
      <c r="H2" s="6">
        <v>8</v>
      </c>
      <c r="I2" s="6">
        <v>9</v>
      </c>
      <c r="J2" s="5">
        <v>10</v>
      </c>
      <c r="K2" s="6">
        <v>11</v>
      </c>
      <c r="L2" s="6">
        <v>12</v>
      </c>
      <c r="M2" s="5">
        <v>13</v>
      </c>
      <c r="N2" s="6">
        <v>14</v>
      </c>
      <c r="O2" s="6">
        <v>15</v>
      </c>
      <c r="P2" s="5">
        <v>16</v>
      </c>
      <c r="Q2" s="6">
        <v>17</v>
      </c>
      <c r="R2" s="6">
        <v>18</v>
      </c>
      <c r="S2" s="5">
        <v>19</v>
      </c>
      <c r="T2" s="6">
        <v>20</v>
      </c>
      <c r="U2" s="6">
        <v>21</v>
      </c>
      <c r="V2" s="5">
        <v>22</v>
      </c>
    </row>
    <row r="3" spans="1:22" x14ac:dyDescent="0.25">
      <c r="A3" s="1">
        <v>1</v>
      </c>
      <c r="B3" s="2">
        <v>17</v>
      </c>
      <c r="C3" s="2">
        <v>20</v>
      </c>
      <c r="D3" s="2">
        <v>20</v>
      </c>
      <c r="E3" s="2">
        <v>22</v>
      </c>
      <c r="F3" s="2">
        <v>22</v>
      </c>
      <c r="G3" s="2">
        <v>25</v>
      </c>
      <c r="H3" s="2">
        <v>25</v>
      </c>
      <c r="I3" s="2">
        <v>29</v>
      </c>
      <c r="J3" s="2">
        <v>29</v>
      </c>
      <c r="K3" s="2">
        <v>33</v>
      </c>
      <c r="L3" s="2">
        <v>33</v>
      </c>
      <c r="M3" s="2">
        <v>38</v>
      </c>
      <c r="N3" s="2">
        <v>38</v>
      </c>
      <c r="O3" s="2">
        <v>42</v>
      </c>
      <c r="P3" s="2">
        <v>42</v>
      </c>
      <c r="Q3" s="2">
        <v>53</v>
      </c>
      <c r="R3" s="2">
        <v>53</v>
      </c>
      <c r="S3" s="2">
        <v>62</v>
      </c>
      <c r="T3" s="2">
        <v>62</v>
      </c>
      <c r="U3" s="2">
        <v>77</v>
      </c>
      <c r="V3" s="2">
        <v>77</v>
      </c>
    </row>
    <row r="4" spans="1:22" x14ac:dyDescent="0.25">
      <c r="A4" s="1">
        <v>12.1</v>
      </c>
      <c r="B4" s="2">
        <v>20</v>
      </c>
      <c r="C4" s="2">
        <v>22</v>
      </c>
      <c r="D4" s="2">
        <v>22</v>
      </c>
      <c r="E4" s="2">
        <v>25</v>
      </c>
      <c r="F4" s="2">
        <v>25</v>
      </c>
      <c r="G4" s="2">
        <v>29</v>
      </c>
      <c r="H4" s="2">
        <v>29</v>
      </c>
      <c r="I4" s="2">
        <v>33</v>
      </c>
      <c r="J4" s="2">
        <v>33</v>
      </c>
      <c r="K4" s="2">
        <v>38</v>
      </c>
      <c r="L4" s="2">
        <v>38</v>
      </c>
      <c r="M4" s="2">
        <v>42</v>
      </c>
      <c r="N4" s="2">
        <v>42</v>
      </c>
      <c r="O4" s="2">
        <v>53</v>
      </c>
      <c r="P4" s="2">
        <v>53</v>
      </c>
      <c r="Q4" s="2">
        <v>65</v>
      </c>
      <c r="R4" s="2">
        <v>65</v>
      </c>
      <c r="S4" s="2">
        <v>74</v>
      </c>
      <c r="T4" s="2">
        <v>74</v>
      </c>
      <c r="U4" s="2">
        <v>93</v>
      </c>
      <c r="V4" s="2">
        <v>93</v>
      </c>
    </row>
    <row r="5" spans="1:22" x14ac:dyDescent="0.25">
      <c r="A5" s="1">
        <v>16</v>
      </c>
      <c r="B5" s="2">
        <v>20</v>
      </c>
      <c r="C5" s="2">
        <v>22</v>
      </c>
      <c r="D5" s="2">
        <v>22</v>
      </c>
      <c r="E5" s="2">
        <v>25</v>
      </c>
      <c r="F5" s="2">
        <v>25</v>
      </c>
      <c r="G5" s="2">
        <v>29</v>
      </c>
      <c r="H5" s="2">
        <v>29</v>
      </c>
      <c r="I5" s="2">
        <v>33</v>
      </c>
      <c r="J5" s="2">
        <v>33</v>
      </c>
      <c r="K5" s="2">
        <v>38</v>
      </c>
      <c r="L5" s="2">
        <v>38</v>
      </c>
      <c r="M5" s="2">
        <v>42</v>
      </c>
      <c r="N5" s="2">
        <v>42</v>
      </c>
      <c r="O5" s="2">
        <v>53</v>
      </c>
      <c r="P5" s="2">
        <v>53</v>
      </c>
      <c r="Q5" s="2">
        <v>65</v>
      </c>
      <c r="R5" s="2">
        <v>65</v>
      </c>
      <c r="S5" s="2">
        <v>74</v>
      </c>
      <c r="T5" s="2">
        <v>74</v>
      </c>
      <c r="U5" s="2">
        <v>93</v>
      </c>
      <c r="V5" s="2">
        <v>93</v>
      </c>
    </row>
    <row r="6" spans="1:22" x14ac:dyDescent="0.25">
      <c r="A6" s="1">
        <v>16.100000000000001</v>
      </c>
      <c r="B6" s="2">
        <v>22</v>
      </c>
      <c r="C6" s="2">
        <v>25</v>
      </c>
      <c r="D6" s="2">
        <v>25</v>
      </c>
      <c r="E6" s="2">
        <v>29</v>
      </c>
      <c r="F6" s="2">
        <v>29</v>
      </c>
      <c r="G6" s="2">
        <v>33</v>
      </c>
      <c r="H6" s="2">
        <v>33</v>
      </c>
      <c r="I6" s="2">
        <v>38</v>
      </c>
      <c r="J6" s="2">
        <v>38</v>
      </c>
      <c r="K6" s="2">
        <v>42</v>
      </c>
      <c r="L6" s="2">
        <v>42</v>
      </c>
      <c r="M6" s="2">
        <v>53</v>
      </c>
      <c r="N6" s="2">
        <v>53</v>
      </c>
      <c r="O6" s="2">
        <v>68</v>
      </c>
      <c r="P6" s="2">
        <v>68</v>
      </c>
      <c r="Q6" s="2">
        <v>74</v>
      </c>
      <c r="R6" s="2">
        <v>74</v>
      </c>
      <c r="S6" s="2">
        <v>81</v>
      </c>
      <c r="T6" s="2">
        <v>81</v>
      </c>
      <c r="U6" s="2">
        <v>103</v>
      </c>
      <c r="V6" s="2">
        <v>103</v>
      </c>
    </row>
    <row r="7" spans="1:22" x14ac:dyDescent="0.25">
      <c r="A7" s="1">
        <v>18</v>
      </c>
      <c r="B7" s="2">
        <v>22</v>
      </c>
      <c r="C7" s="2">
        <v>25</v>
      </c>
      <c r="D7" s="2">
        <v>25</v>
      </c>
      <c r="E7" s="2">
        <v>29</v>
      </c>
      <c r="F7" s="2">
        <v>29</v>
      </c>
      <c r="G7" s="2">
        <v>33</v>
      </c>
      <c r="H7" s="2">
        <v>33</v>
      </c>
      <c r="I7" s="2">
        <v>38</v>
      </c>
      <c r="J7" s="2">
        <v>38</v>
      </c>
      <c r="K7" s="2">
        <v>42</v>
      </c>
      <c r="L7" s="2">
        <v>42</v>
      </c>
      <c r="M7" s="2">
        <v>53</v>
      </c>
      <c r="N7" s="2">
        <v>53</v>
      </c>
      <c r="O7" s="2">
        <v>68</v>
      </c>
      <c r="P7" s="2">
        <v>68</v>
      </c>
      <c r="Q7" s="2">
        <v>74</v>
      </c>
      <c r="R7" s="2">
        <v>74</v>
      </c>
      <c r="S7" s="2">
        <v>81</v>
      </c>
      <c r="T7" s="2">
        <v>81</v>
      </c>
      <c r="U7" s="2">
        <v>103</v>
      </c>
      <c r="V7" s="2">
        <v>103</v>
      </c>
    </row>
    <row r="8" spans="1:22" x14ac:dyDescent="0.25">
      <c r="A8" s="1">
        <v>18.100000000000001</v>
      </c>
      <c r="B8" s="2">
        <v>25</v>
      </c>
      <c r="C8" s="2">
        <v>29</v>
      </c>
      <c r="D8" s="2">
        <v>29</v>
      </c>
      <c r="E8" s="2">
        <v>33</v>
      </c>
      <c r="F8" s="2">
        <v>33</v>
      </c>
      <c r="G8" s="2">
        <v>38</v>
      </c>
      <c r="H8" s="2">
        <v>38</v>
      </c>
      <c r="I8" s="2">
        <v>42</v>
      </c>
      <c r="J8" s="2">
        <v>42</v>
      </c>
      <c r="K8" s="2">
        <v>53</v>
      </c>
      <c r="L8" s="2">
        <v>53</v>
      </c>
      <c r="M8" s="2">
        <v>60</v>
      </c>
      <c r="N8" s="2">
        <v>60</v>
      </c>
      <c r="O8" s="2">
        <v>74</v>
      </c>
      <c r="P8" s="2">
        <v>74</v>
      </c>
      <c r="Q8" s="2">
        <v>92</v>
      </c>
      <c r="R8" s="2">
        <v>92</v>
      </c>
      <c r="S8" s="2">
        <v>102</v>
      </c>
      <c r="T8" s="2">
        <v>102</v>
      </c>
      <c r="U8" s="2">
        <v>128</v>
      </c>
      <c r="V8" s="2">
        <v>128</v>
      </c>
    </row>
    <row r="9" spans="1:22" x14ac:dyDescent="0.25">
      <c r="A9" s="1">
        <v>24</v>
      </c>
      <c r="B9" s="2">
        <v>25</v>
      </c>
      <c r="C9" s="2">
        <v>29</v>
      </c>
      <c r="D9" s="2">
        <v>29</v>
      </c>
      <c r="E9" s="2">
        <v>33</v>
      </c>
      <c r="F9" s="2">
        <v>33</v>
      </c>
      <c r="G9" s="2">
        <v>38</v>
      </c>
      <c r="H9" s="2">
        <v>38</v>
      </c>
      <c r="I9" s="2">
        <v>42</v>
      </c>
      <c r="J9" s="2">
        <v>42</v>
      </c>
      <c r="K9" s="2">
        <v>53</v>
      </c>
      <c r="L9" s="2">
        <v>53</v>
      </c>
      <c r="M9" s="2">
        <v>60</v>
      </c>
      <c r="N9" s="2">
        <v>60</v>
      </c>
      <c r="O9" s="2">
        <v>74</v>
      </c>
      <c r="P9" s="2">
        <v>74</v>
      </c>
      <c r="Q9" s="2">
        <v>92</v>
      </c>
      <c r="R9" s="2">
        <v>92</v>
      </c>
      <c r="S9" s="2">
        <v>102</v>
      </c>
      <c r="T9" s="2">
        <v>102</v>
      </c>
      <c r="U9" s="2">
        <v>128</v>
      </c>
      <c r="V9" s="2">
        <v>128</v>
      </c>
    </row>
    <row r="10" spans="1:22" x14ac:dyDescent="0.25">
      <c r="A10" s="1">
        <v>24.1</v>
      </c>
      <c r="B10" s="2">
        <v>29</v>
      </c>
      <c r="C10" s="2">
        <v>33</v>
      </c>
      <c r="D10" s="2">
        <v>33</v>
      </c>
      <c r="E10" s="2">
        <v>38</v>
      </c>
      <c r="F10" s="2">
        <v>38</v>
      </c>
      <c r="G10" s="2">
        <v>42</v>
      </c>
      <c r="H10" s="2">
        <v>42</v>
      </c>
      <c r="I10" s="2">
        <v>53</v>
      </c>
      <c r="J10" s="2">
        <v>53</v>
      </c>
      <c r="K10" s="2">
        <v>60</v>
      </c>
      <c r="L10" s="2">
        <v>60</v>
      </c>
      <c r="M10" s="2">
        <v>74</v>
      </c>
      <c r="N10" s="2">
        <v>74</v>
      </c>
      <c r="O10" s="2">
        <v>110</v>
      </c>
      <c r="P10" s="2">
        <v>110</v>
      </c>
      <c r="Q10" s="2">
        <v>142</v>
      </c>
      <c r="R10" s="2">
        <v>142</v>
      </c>
      <c r="S10" s="2">
        <v>168</v>
      </c>
      <c r="T10" s="2">
        <v>168</v>
      </c>
      <c r="U10" s="2">
        <v>206</v>
      </c>
      <c r="V10" s="2">
        <v>206</v>
      </c>
    </row>
    <row r="11" spans="1:22" x14ac:dyDescent="0.25">
      <c r="A11" s="1">
        <v>32</v>
      </c>
      <c r="B11" s="2">
        <v>29</v>
      </c>
      <c r="C11" s="2">
        <v>33</v>
      </c>
      <c r="D11" s="2">
        <v>33</v>
      </c>
      <c r="E11" s="2">
        <v>38</v>
      </c>
      <c r="F11" s="2">
        <v>38</v>
      </c>
      <c r="G11" s="2">
        <v>42</v>
      </c>
      <c r="H11" s="2">
        <v>42</v>
      </c>
      <c r="I11" s="2">
        <v>53</v>
      </c>
      <c r="J11" s="2">
        <v>53</v>
      </c>
      <c r="K11" s="2">
        <v>60</v>
      </c>
      <c r="L11" s="2">
        <v>60</v>
      </c>
      <c r="M11" s="2">
        <v>74</v>
      </c>
      <c r="N11" s="2">
        <v>74</v>
      </c>
      <c r="O11" s="2">
        <v>110</v>
      </c>
      <c r="P11" s="2">
        <v>110</v>
      </c>
      <c r="Q11" s="2">
        <v>142</v>
      </c>
      <c r="R11" s="2">
        <v>142</v>
      </c>
      <c r="S11" s="2">
        <v>168</v>
      </c>
      <c r="T11" s="2">
        <v>168</v>
      </c>
      <c r="U11" s="2">
        <v>206</v>
      </c>
      <c r="V11" s="2">
        <v>206</v>
      </c>
    </row>
    <row r="12" spans="1:22" x14ac:dyDescent="0.25">
      <c r="A12" s="1">
        <v>32.1</v>
      </c>
      <c r="B12" s="2">
        <v>33</v>
      </c>
      <c r="C12" s="2">
        <v>38</v>
      </c>
      <c r="D12" s="2">
        <v>38</v>
      </c>
      <c r="E12" s="2">
        <v>42</v>
      </c>
      <c r="F12" s="2">
        <v>42</v>
      </c>
      <c r="G12" s="2">
        <v>53</v>
      </c>
      <c r="H12" s="2">
        <v>53</v>
      </c>
      <c r="I12" s="2">
        <v>60</v>
      </c>
      <c r="J12" s="2">
        <v>60</v>
      </c>
      <c r="K12" s="2">
        <v>74</v>
      </c>
      <c r="L12" s="2">
        <v>74</v>
      </c>
      <c r="M12" s="2">
        <v>86</v>
      </c>
      <c r="N12" s="2">
        <v>86</v>
      </c>
      <c r="O12" s="2">
        <v>124</v>
      </c>
      <c r="P12" s="2">
        <v>124</v>
      </c>
      <c r="Q12" s="2">
        <v>154</v>
      </c>
      <c r="R12" s="2">
        <v>154</v>
      </c>
      <c r="S12" s="2">
        <v>175</v>
      </c>
      <c r="T12" s="2">
        <v>175</v>
      </c>
      <c r="U12" s="2">
        <v>218</v>
      </c>
      <c r="V12" s="2">
        <v>218</v>
      </c>
    </row>
    <row r="13" spans="1:22" x14ac:dyDescent="0.25">
      <c r="A13" s="1">
        <v>36</v>
      </c>
      <c r="B13" s="2">
        <v>33</v>
      </c>
      <c r="C13" s="2">
        <v>38</v>
      </c>
      <c r="D13" s="2">
        <v>38</v>
      </c>
      <c r="E13" s="2">
        <v>42</v>
      </c>
      <c r="F13" s="2">
        <v>42</v>
      </c>
      <c r="G13" s="2">
        <v>53</v>
      </c>
      <c r="H13" s="2">
        <v>53</v>
      </c>
      <c r="I13" s="2">
        <v>60</v>
      </c>
      <c r="J13" s="2">
        <v>60</v>
      </c>
      <c r="K13" s="2">
        <v>74</v>
      </c>
      <c r="L13" s="2">
        <v>74</v>
      </c>
      <c r="M13" s="2">
        <v>86</v>
      </c>
      <c r="N13" s="2">
        <v>86</v>
      </c>
      <c r="O13" s="2">
        <v>124</v>
      </c>
      <c r="P13" s="2">
        <v>124</v>
      </c>
      <c r="Q13" s="2">
        <v>154</v>
      </c>
      <c r="R13" s="2">
        <v>154</v>
      </c>
      <c r="S13" s="2">
        <v>175</v>
      </c>
      <c r="T13" s="2">
        <v>175</v>
      </c>
      <c r="U13" s="2">
        <v>218</v>
      </c>
      <c r="V13" s="2">
        <v>218</v>
      </c>
    </row>
    <row r="14" spans="1:22" x14ac:dyDescent="0.25">
      <c r="A14" s="1">
        <v>36.1</v>
      </c>
      <c r="B14" s="2">
        <v>38</v>
      </c>
      <c r="C14" s="2">
        <v>42</v>
      </c>
      <c r="D14" s="2">
        <v>42</v>
      </c>
      <c r="E14" s="2">
        <v>53</v>
      </c>
      <c r="F14" s="2">
        <v>53</v>
      </c>
      <c r="G14" s="2">
        <v>60</v>
      </c>
      <c r="H14" s="2">
        <v>60</v>
      </c>
      <c r="I14" s="2">
        <v>74</v>
      </c>
      <c r="J14" s="2">
        <v>74</v>
      </c>
      <c r="K14" s="2">
        <v>86</v>
      </c>
      <c r="L14" s="2">
        <v>86</v>
      </c>
      <c r="M14" s="2">
        <v>98</v>
      </c>
      <c r="N14" s="2">
        <v>98</v>
      </c>
      <c r="O14" s="2">
        <v>142</v>
      </c>
      <c r="P14" s="2">
        <v>142</v>
      </c>
      <c r="Q14" s="2">
        <v>164</v>
      </c>
      <c r="R14" s="2">
        <v>164</v>
      </c>
      <c r="S14" s="2">
        <v>183</v>
      </c>
      <c r="T14" s="2">
        <v>183</v>
      </c>
      <c r="U14" s="2">
        <v>240</v>
      </c>
      <c r="V14" s="2">
        <v>240</v>
      </c>
    </row>
    <row r="15" spans="1:22" x14ac:dyDescent="0.25">
      <c r="A15" s="1">
        <v>48</v>
      </c>
      <c r="B15" s="2">
        <v>38</v>
      </c>
      <c r="C15" s="2">
        <v>42</v>
      </c>
      <c r="D15" s="2">
        <v>42</v>
      </c>
      <c r="E15" s="2">
        <v>53</v>
      </c>
      <c r="F15" s="2">
        <v>53</v>
      </c>
      <c r="G15" s="2">
        <v>60</v>
      </c>
      <c r="H15" s="2">
        <v>60</v>
      </c>
      <c r="I15" s="2">
        <v>74</v>
      </c>
      <c r="J15" s="2">
        <v>74</v>
      </c>
      <c r="K15" s="2">
        <v>86</v>
      </c>
      <c r="L15" s="2">
        <v>86</v>
      </c>
      <c r="M15" s="2">
        <v>98</v>
      </c>
      <c r="N15" s="2">
        <v>98</v>
      </c>
      <c r="O15" s="2">
        <v>142</v>
      </c>
      <c r="P15" s="2">
        <v>142</v>
      </c>
      <c r="Q15" s="2">
        <v>164</v>
      </c>
      <c r="R15" s="2">
        <v>164</v>
      </c>
      <c r="S15" s="2">
        <v>183</v>
      </c>
      <c r="T15" s="2">
        <v>183</v>
      </c>
      <c r="U15" s="2">
        <v>240</v>
      </c>
      <c r="V15" s="2">
        <v>240</v>
      </c>
    </row>
    <row r="16" spans="1:22" x14ac:dyDescent="0.25">
      <c r="A16" s="1">
        <v>48.1</v>
      </c>
      <c r="B16" s="2">
        <v>42</v>
      </c>
      <c r="C16" s="2">
        <v>53</v>
      </c>
      <c r="D16" s="2">
        <v>53</v>
      </c>
      <c r="E16" s="2">
        <v>68</v>
      </c>
      <c r="F16" s="2">
        <v>68</v>
      </c>
      <c r="G16" s="2">
        <v>74</v>
      </c>
      <c r="H16" s="2">
        <v>74</v>
      </c>
      <c r="I16" s="2">
        <v>110</v>
      </c>
      <c r="J16" s="2">
        <v>110</v>
      </c>
      <c r="K16" s="2">
        <v>124</v>
      </c>
      <c r="L16" s="2">
        <v>124</v>
      </c>
      <c r="M16" s="2">
        <v>142</v>
      </c>
      <c r="N16" s="2">
        <v>142</v>
      </c>
      <c r="O16" s="2">
        <v>179</v>
      </c>
      <c r="P16" s="2">
        <v>179</v>
      </c>
      <c r="Q16" s="2">
        <v>214</v>
      </c>
      <c r="R16" s="2">
        <v>214</v>
      </c>
      <c r="S16" s="2">
        <v>284</v>
      </c>
      <c r="T16" s="2">
        <v>284</v>
      </c>
      <c r="U16" s="2">
        <v>354</v>
      </c>
      <c r="V16" s="2">
        <v>354</v>
      </c>
    </row>
    <row r="17" spans="1:22" x14ac:dyDescent="0.25">
      <c r="A17" s="1">
        <v>60</v>
      </c>
      <c r="B17" s="2">
        <v>42</v>
      </c>
      <c r="C17" s="2">
        <v>53</v>
      </c>
      <c r="D17" s="2">
        <v>53</v>
      </c>
      <c r="E17" s="2">
        <v>68</v>
      </c>
      <c r="F17" s="2">
        <v>68</v>
      </c>
      <c r="G17" s="2">
        <v>74</v>
      </c>
      <c r="H17" s="2">
        <v>74</v>
      </c>
      <c r="I17" s="2">
        <v>110</v>
      </c>
      <c r="J17" s="2">
        <v>110</v>
      </c>
      <c r="K17" s="2">
        <v>124</v>
      </c>
      <c r="L17" s="2">
        <v>124</v>
      </c>
      <c r="M17" s="2">
        <v>142</v>
      </c>
      <c r="N17" s="2">
        <v>142</v>
      </c>
      <c r="O17" s="2">
        <v>179</v>
      </c>
      <c r="P17" s="2">
        <v>179</v>
      </c>
      <c r="Q17" s="2">
        <v>214</v>
      </c>
      <c r="R17" s="2">
        <v>214</v>
      </c>
      <c r="S17" s="2">
        <v>284</v>
      </c>
      <c r="T17" s="2">
        <v>284</v>
      </c>
      <c r="U17" s="2">
        <v>354</v>
      </c>
      <c r="V17" s="2">
        <v>354</v>
      </c>
    </row>
    <row r="18" spans="1:22" x14ac:dyDescent="0.25">
      <c r="A18" s="7">
        <v>60.1</v>
      </c>
      <c r="B18" s="2">
        <v>53</v>
      </c>
      <c r="C18" s="2">
        <v>65</v>
      </c>
      <c r="D18" s="2">
        <v>65</v>
      </c>
      <c r="E18" s="2">
        <v>74</v>
      </c>
      <c r="F18" s="2">
        <v>74</v>
      </c>
      <c r="G18" s="2">
        <v>92</v>
      </c>
      <c r="H18" s="2">
        <v>92</v>
      </c>
      <c r="I18" s="2">
        <v>142</v>
      </c>
      <c r="J18" s="2">
        <v>142</v>
      </c>
      <c r="K18" s="2">
        <v>154</v>
      </c>
      <c r="L18" s="2">
        <v>154</v>
      </c>
      <c r="M18" s="2">
        <v>164</v>
      </c>
      <c r="N18" s="2">
        <v>164</v>
      </c>
      <c r="O18" s="2">
        <v>214</v>
      </c>
      <c r="P18" s="2">
        <v>214</v>
      </c>
      <c r="Q18" s="3" t="s">
        <v>34</v>
      </c>
      <c r="R18" s="3" t="s">
        <v>34</v>
      </c>
      <c r="S18" s="3" t="s">
        <v>34</v>
      </c>
      <c r="T18" s="3" t="s">
        <v>34</v>
      </c>
      <c r="U18" s="3" t="s">
        <v>34</v>
      </c>
      <c r="V18" s="3" t="s">
        <v>34</v>
      </c>
    </row>
    <row r="19" spans="1:22" x14ac:dyDescent="0.25">
      <c r="A19" s="7">
        <v>72</v>
      </c>
      <c r="B19" s="2">
        <v>53</v>
      </c>
      <c r="C19" s="2">
        <v>65</v>
      </c>
      <c r="D19" s="2">
        <v>65</v>
      </c>
      <c r="E19" s="2">
        <v>74</v>
      </c>
      <c r="F19" s="2">
        <v>74</v>
      </c>
      <c r="G19" s="2">
        <v>92</v>
      </c>
      <c r="H19" s="2">
        <v>92</v>
      </c>
      <c r="I19" s="2">
        <v>142</v>
      </c>
      <c r="J19" s="2">
        <v>142</v>
      </c>
      <c r="K19" s="2">
        <v>154</v>
      </c>
      <c r="L19" s="2">
        <v>154</v>
      </c>
      <c r="M19" s="2">
        <v>164</v>
      </c>
      <c r="N19" s="2">
        <v>164</v>
      </c>
      <c r="O19" s="2">
        <v>214</v>
      </c>
      <c r="P19" s="2">
        <v>214</v>
      </c>
      <c r="Q19" s="3" t="s">
        <v>34</v>
      </c>
      <c r="R19" s="3" t="s">
        <v>34</v>
      </c>
      <c r="S19" s="3" t="s">
        <v>34</v>
      </c>
      <c r="T19" s="3" t="s">
        <v>34</v>
      </c>
      <c r="U19" s="3" t="s">
        <v>34</v>
      </c>
      <c r="V19" s="3" t="s">
        <v>34</v>
      </c>
    </row>
    <row r="20" spans="1:22" x14ac:dyDescent="0.25">
      <c r="A20" s="3">
        <v>72.099999999999994</v>
      </c>
      <c r="B20" s="2">
        <v>62</v>
      </c>
      <c r="C20" s="2">
        <v>74</v>
      </c>
      <c r="D20" s="2">
        <v>74</v>
      </c>
      <c r="E20" s="2">
        <v>81</v>
      </c>
      <c r="F20" s="2">
        <v>81</v>
      </c>
      <c r="G20" s="2">
        <v>102</v>
      </c>
      <c r="H20" s="2">
        <v>102</v>
      </c>
      <c r="I20" s="2">
        <v>168</v>
      </c>
      <c r="J20" s="2">
        <v>168</v>
      </c>
      <c r="K20" s="2">
        <v>175</v>
      </c>
      <c r="L20" s="2">
        <v>175</v>
      </c>
      <c r="M20" s="2">
        <v>183</v>
      </c>
      <c r="N20" s="2">
        <v>183</v>
      </c>
      <c r="O20" s="2">
        <v>284</v>
      </c>
      <c r="P20" s="2">
        <v>284</v>
      </c>
      <c r="Q20" s="3" t="s">
        <v>34</v>
      </c>
      <c r="R20" s="3" t="s">
        <v>34</v>
      </c>
      <c r="S20" s="3" t="s">
        <v>34</v>
      </c>
      <c r="T20" s="3" t="s">
        <v>34</v>
      </c>
      <c r="U20" s="3" t="s">
        <v>34</v>
      </c>
      <c r="V20" s="3" t="s">
        <v>34</v>
      </c>
    </row>
    <row r="21" spans="1:22" x14ac:dyDescent="0.25">
      <c r="A21" s="3">
        <v>96</v>
      </c>
      <c r="B21" s="2">
        <v>62</v>
      </c>
      <c r="C21" s="2">
        <v>74</v>
      </c>
      <c r="D21" s="2">
        <v>74</v>
      </c>
      <c r="E21" s="2">
        <v>81</v>
      </c>
      <c r="F21" s="2">
        <v>81</v>
      </c>
      <c r="G21" s="2">
        <v>102</v>
      </c>
      <c r="H21" s="2">
        <v>102</v>
      </c>
      <c r="I21" s="2">
        <v>168</v>
      </c>
      <c r="J21" s="2">
        <v>168</v>
      </c>
      <c r="K21" s="2">
        <v>175</v>
      </c>
      <c r="L21" s="2">
        <v>175</v>
      </c>
      <c r="M21" s="2">
        <v>183</v>
      </c>
      <c r="N21" s="2">
        <v>183</v>
      </c>
      <c r="O21" s="2">
        <v>284</v>
      </c>
      <c r="P21" s="2">
        <v>284</v>
      </c>
      <c r="Q21" s="3" t="s">
        <v>34</v>
      </c>
      <c r="R21" s="3" t="s">
        <v>34</v>
      </c>
      <c r="S21" s="3" t="s">
        <v>34</v>
      </c>
      <c r="T21" s="3" t="s">
        <v>34</v>
      </c>
      <c r="U21" s="3" t="s">
        <v>34</v>
      </c>
      <c r="V21" s="3" t="s">
        <v>34</v>
      </c>
    </row>
    <row r="22" spans="1:22" x14ac:dyDescent="0.25">
      <c r="A22" s="3">
        <v>96.1</v>
      </c>
      <c r="B22" s="2">
        <v>77</v>
      </c>
      <c r="C22" s="2">
        <v>93</v>
      </c>
      <c r="D22" s="2">
        <v>93</v>
      </c>
      <c r="E22" s="2">
        <v>103</v>
      </c>
      <c r="F22" s="2">
        <v>103</v>
      </c>
      <c r="G22" s="2">
        <v>128</v>
      </c>
      <c r="H22" s="2">
        <v>128</v>
      </c>
      <c r="I22" s="2">
        <v>206</v>
      </c>
      <c r="J22" s="2">
        <v>206</v>
      </c>
      <c r="K22" s="2">
        <v>218</v>
      </c>
      <c r="L22" s="2">
        <v>218</v>
      </c>
      <c r="M22" s="2">
        <v>240</v>
      </c>
      <c r="N22" s="2">
        <v>240</v>
      </c>
      <c r="O22" s="2">
        <v>354</v>
      </c>
      <c r="P22" s="2">
        <v>354</v>
      </c>
      <c r="Q22" s="3" t="s">
        <v>34</v>
      </c>
      <c r="R22" s="3" t="s">
        <v>34</v>
      </c>
      <c r="S22" s="3" t="s">
        <v>34</v>
      </c>
      <c r="T22" s="3" t="s">
        <v>34</v>
      </c>
      <c r="U22" s="3" t="s">
        <v>34</v>
      </c>
      <c r="V22" s="3" t="s">
        <v>34</v>
      </c>
    </row>
    <row r="23" spans="1:22" x14ac:dyDescent="0.25">
      <c r="A23" s="3">
        <v>120</v>
      </c>
      <c r="B23" s="2">
        <v>77</v>
      </c>
      <c r="C23" s="2">
        <v>93</v>
      </c>
      <c r="D23" s="2">
        <v>93</v>
      </c>
      <c r="E23" s="2">
        <v>103</v>
      </c>
      <c r="F23" s="2">
        <v>103</v>
      </c>
      <c r="G23" s="2">
        <v>128</v>
      </c>
      <c r="H23" s="2">
        <v>128</v>
      </c>
      <c r="I23" s="2">
        <v>206</v>
      </c>
      <c r="J23" s="2">
        <v>206</v>
      </c>
      <c r="K23" s="2">
        <v>218</v>
      </c>
      <c r="L23" s="2">
        <v>218</v>
      </c>
      <c r="M23" s="2">
        <v>240</v>
      </c>
      <c r="N23" s="2">
        <v>240</v>
      </c>
      <c r="O23" s="2">
        <v>354</v>
      </c>
      <c r="P23" s="2">
        <v>354</v>
      </c>
      <c r="Q23" s="3" t="s">
        <v>34</v>
      </c>
      <c r="R23" s="3" t="s">
        <v>34</v>
      </c>
      <c r="S23" s="3" t="s">
        <v>34</v>
      </c>
      <c r="T23" s="3" t="s">
        <v>34</v>
      </c>
      <c r="U23" s="3" t="s">
        <v>34</v>
      </c>
      <c r="V23" s="3" t="s">
        <v>34</v>
      </c>
    </row>
    <row r="24" spans="1:22" x14ac:dyDescent="0.25">
      <c r="A24" s="3"/>
    </row>
    <row r="25" spans="1:22" x14ac:dyDescent="0.25">
      <c r="A25" s="3"/>
    </row>
    <row r="26" spans="1:22" x14ac:dyDescent="0.25">
      <c r="A26" s="3"/>
    </row>
    <row r="27" spans="1:22" x14ac:dyDescent="0.25">
      <c r="A27" s="3"/>
    </row>
    <row r="28" spans="1:22" x14ac:dyDescent="0.25">
      <c r="A28" s="3"/>
    </row>
    <row r="29" spans="1:22" x14ac:dyDescent="0.25">
      <c r="A29" s="3"/>
    </row>
  </sheetData>
  <pageMargins left="0.70866141732283472" right="0.70866141732283472" top="0.74803149606299213" bottom="0.74803149606299213" header="0.31496062992125984" footer="0.31496062992125984"/>
  <pageSetup scale="60" orientation="landscape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D02CDB-8C50-4E48-BF81-3C34D612DF0D}">
  <sheetPr codeName="Sheet4"/>
  <dimension ref="A1:X65"/>
  <sheetViews>
    <sheetView workbookViewId="0">
      <selection activeCell="O2" sqref="O2"/>
    </sheetView>
  </sheetViews>
  <sheetFormatPr defaultColWidth="0" defaultRowHeight="15" outlineLevelRow="1" x14ac:dyDescent="0.25"/>
  <cols>
    <col min="1" max="1" width="9.140625" customWidth="1"/>
    <col min="2" max="2" width="2.140625" customWidth="1"/>
    <col min="3" max="3" width="18.140625" customWidth="1"/>
    <col min="4" max="11" width="9.140625" customWidth="1"/>
    <col min="12" max="24" width="0" hidden="1" customWidth="1"/>
    <col min="25" max="16384" width="9.140625" hidden="1"/>
  </cols>
  <sheetData>
    <row r="1" spans="2:16" x14ac:dyDescent="0.25">
      <c r="B1" s="116"/>
      <c r="C1" s="117"/>
      <c r="E1" s="474"/>
      <c r="F1" s="474" t="s">
        <v>441</v>
      </c>
      <c r="G1" s="474"/>
      <c r="H1" s="474"/>
      <c r="I1" s="474"/>
      <c r="J1" s="474"/>
      <c r="K1" s="474"/>
    </row>
    <row r="2" spans="2:16" ht="15.75" thickBot="1" x14ac:dyDescent="0.3">
      <c r="B2" s="606"/>
      <c r="C2" s="606"/>
      <c r="D2" s="26"/>
      <c r="E2" s="26"/>
      <c r="F2" s="119" t="s">
        <v>23</v>
      </c>
      <c r="G2" s="18"/>
      <c r="H2" s="18"/>
      <c r="I2" s="26"/>
      <c r="J2" s="26"/>
      <c r="K2" s="26"/>
    </row>
    <row r="3" spans="2:16" ht="15.75" thickBot="1" x14ac:dyDescent="0.3">
      <c r="B3" s="118" t="s">
        <v>87</v>
      </c>
      <c r="D3" s="18"/>
      <c r="E3" s="18"/>
      <c r="F3" s="18"/>
      <c r="G3" s="18"/>
      <c r="H3" s="120" t="s">
        <v>84</v>
      </c>
      <c r="I3" s="607">
        <f>'QUOTE START'!C5</f>
        <v>0</v>
      </c>
      <c r="J3" s="608"/>
      <c r="K3" s="18"/>
    </row>
    <row r="4" spans="2:16" x14ac:dyDescent="0.25">
      <c r="B4" s="18"/>
      <c r="C4" s="18"/>
      <c r="D4" s="18"/>
      <c r="E4" s="18"/>
      <c r="F4" s="18"/>
      <c r="G4" s="18"/>
      <c r="H4" s="18"/>
      <c r="I4" s="121"/>
      <c r="J4" s="121"/>
      <c r="K4" s="18"/>
    </row>
    <row r="5" spans="2:16" ht="15.75" thickBot="1" x14ac:dyDescent="0.3">
      <c r="B5" s="30"/>
      <c r="C5" s="119" t="s">
        <v>39</v>
      </c>
      <c r="D5" s="119"/>
      <c r="E5" s="119"/>
      <c r="F5" s="18"/>
      <c r="G5" s="18"/>
      <c r="H5" s="18"/>
      <c r="I5" s="18"/>
      <c r="J5" s="18"/>
      <c r="K5" s="18"/>
    </row>
    <row r="6" spans="2:16" ht="15.75" thickBot="1" x14ac:dyDescent="0.3">
      <c r="B6" s="30"/>
      <c r="C6" s="609"/>
      <c r="D6" s="610"/>
      <c r="E6" s="610"/>
      <c r="F6" s="610"/>
      <c r="G6" s="610"/>
      <c r="H6" s="610"/>
      <c r="I6" s="610"/>
      <c r="J6" s="611"/>
      <c r="K6" s="18"/>
    </row>
    <row r="7" spans="2:16" ht="15.75" thickBot="1" x14ac:dyDescent="0.3">
      <c r="B7" s="30"/>
      <c r="C7" s="18"/>
      <c r="D7" s="18"/>
      <c r="E7" s="18"/>
      <c r="F7" s="18"/>
    </row>
    <row r="8" spans="2:16" ht="15.75" thickBot="1" x14ac:dyDescent="0.3">
      <c r="C8" s="119" t="s">
        <v>442</v>
      </c>
      <c r="D8" s="614"/>
      <c r="E8" s="613"/>
      <c r="G8" s="119" t="s">
        <v>448</v>
      </c>
      <c r="I8" s="612">
        <f>SUM(G20:G33)</f>
        <v>0</v>
      </c>
      <c r="J8" s="613"/>
    </row>
    <row r="9" spans="2:16" ht="15.75" thickBot="1" x14ac:dyDescent="0.3">
      <c r="C9" s="119" t="s">
        <v>443</v>
      </c>
      <c r="D9" s="614"/>
      <c r="E9" s="613"/>
      <c r="G9" s="119" t="s">
        <v>449</v>
      </c>
      <c r="I9" s="612">
        <f>SUM(I20:I33)</f>
        <v>0</v>
      </c>
      <c r="J9" s="613"/>
    </row>
    <row r="10" spans="2:16" ht="15.75" thickBot="1" x14ac:dyDescent="0.3">
      <c r="C10" s="119" t="s">
        <v>444</v>
      </c>
      <c r="D10" s="614"/>
      <c r="E10" s="613"/>
      <c r="G10" s="119" t="s">
        <v>456</v>
      </c>
      <c r="I10" s="614">
        <f>SUM(E36:E60)</f>
        <v>0</v>
      </c>
      <c r="J10" s="613"/>
      <c r="O10" s="615"/>
      <c r="P10" s="615"/>
    </row>
    <row r="11" spans="2:16" ht="15.75" thickBot="1" x14ac:dyDescent="0.3">
      <c r="C11" s="119" t="s">
        <v>445</v>
      </c>
      <c r="D11" s="614"/>
      <c r="E11" s="613"/>
      <c r="G11" s="119" t="s">
        <v>450</v>
      </c>
      <c r="I11" s="612">
        <f>SUM(G36:G60)</f>
        <v>0</v>
      </c>
      <c r="J11" s="613"/>
      <c r="O11" s="615"/>
      <c r="P11" s="615"/>
    </row>
    <row r="12" spans="2:16" ht="15.75" thickBot="1" x14ac:dyDescent="0.3">
      <c r="C12" s="119" t="s">
        <v>446</v>
      </c>
      <c r="D12" s="614"/>
      <c r="E12" s="613"/>
      <c r="G12" s="119" t="s">
        <v>18</v>
      </c>
      <c r="I12" s="614">
        <f>E16</f>
        <v>0</v>
      </c>
      <c r="J12" s="613"/>
    </row>
    <row r="13" spans="2:16" ht="15.75" thickBot="1" x14ac:dyDescent="0.3">
      <c r="C13" s="119" t="s">
        <v>447</v>
      </c>
      <c r="D13" s="614"/>
      <c r="E13" s="613"/>
      <c r="G13" s="119" t="s">
        <v>457</v>
      </c>
      <c r="I13" s="612">
        <f>SUM(G16:G17)</f>
        <v>0</v>
      </c>
      <c r="J13" s="613"/>
    </row>
    <row r="14" spans="2:16" x14ac:dyDescent="0.25">
      <c r="C14" s="119"/>
      <c r="D14" s="481"/>
      <c r="E14" s="481"/>
      <c r="G14" s="119"/>
      <c r="I14" s="481"/>
      <c r="J14" s="481"/>
    </row>
    <row r="15" spans="2:16" x14ac:dyDescent="0.25">
      <c r="B15" s="476"/>
      <c r="C15" s="439" t="s">
        <v>451</v>
      </c>
      <c r="D15" s="439"/>
      <c r="E15" s="439"/>
      <c r="F15" s="439" t="s">
        <v>8</v>
      </c>
      <c r="G15" s="439" t="s">
        <v>45</v>
      </c>
      <c r="H15" s="439"/>
      <c r="I15" s="620" t="s">
        <v>45</v>
      </c>
      <c r="J15" s="620"/>
    </row>
    <row r="16" spans="2:16" hidden="1" outlineLevel="1" x14ac:dyDescent="0.25">
      <c r="B16" s="622"/>
      <c r="C16" t="s">
        <v>82</v>
      </c>
      <c r="E16" s="11"/>
      <c r="F16" s="13">
        <v>85</v>
      </c>
      <c r="G16" s="13">
        <f>E16*F16</f>
        <v>0</v>
      </c>
      <c r="I16" s="615"/>
      <c r="J16" s="615"/>
    </row>
    <row r="17" spans="2:10" hidden="1" outlineLevel="1" x14ac:dyDescent="0.25">
      <c r="B17" s="622"/>
      <c r="C17" t="s">
        <v>83</v>
      </c>
      <c r="E17" s="11"/>
      <c r="F17" s="13">
        <v>25</v>
      </c>
      <c r="G17" s="13">
        <f>E17*F17</f>
        <v>0</v>
      </c>
      <c r="I17" s="615"/>
      <c r="J17" s="615"/>
    </row>
    <row r="18" spans="2:10" collapsed="1" x14ac:dyDescent="0.25">
      <c r="G18" s="119"/>
    </row>
    <row r="19" spans="2:10" x14ac:dyDescent="0.25">
      <c r="B19" s="476"/>
      <c r="C19" s="439" t="s">
        <v>48</v>
      </c>
      <c r="D19" s="439"/>
      <c r="E19" s="439" t="s">
        <v>49</v>
      </c>
      <c r="F19" s="439" t="s">
        <v>50</v>
      </c>
      <c r="G19" s="439" t="s">
        <v>45</v>
      </c>
      <c r="H19" s="439" t="s">
        <v>46</v>
      </c>
      <c r="I19" s="482" t="s">
        <v>45</v>
      </c>
      <c r="J19" s="482"/>
    </row>
    <row r="20" spans="2:10" hidden="1" outlineLevel="1" x14ac:dyDescent="0.25">
      <c r="B20" s="476"/>
      <c r="C20" t="s">
        <v>51</v>
      </c>
      <c r="E20" s="475"/>
      <c r="F20" s="12">
        <v>8</v>
      </c>
      <c r="G20" s="13">
        <f t="shared" ref="G20:G32" si="0">E20*F20</f>
        <v>0</v>
      </c>
      <c r="H20" s="13">
        <v>1.62</v>
      </c>
      <c r="I20" s="13">
        <f t="shared" ref="I20:I32" si="1">E20*H20</f>
        <v>0</v>
      </c>
      <c r="J20" s="13"/>
    </row>
    <row r="21" spans="2:10" hidden="1" outlineLevel="1" x14ac:dyDescent="0.25">
      <c r="B21" s="476"/>
      <c r="C21" t="s">
        <v>52</v>
      </c>
      <c r="E21" s="11"/>
      <c r="F21" s="13">
        <v>7</v>
      </c>
      <c r="G21" s="13">
        <f t="shared" si="0"/>
        <v>0</v>
      </c>
      <c r="H21" s="13">
        <v>1.26</v>
      </c>
      <c r="I21" s="13">
        <f t="shared" si="1"/>
        <v>0</v>
      </c>
      <c r="J21" s="13"/>
    </row>
    <row r="22" spans="2:10" hidden="1" outlineLevel="1" x14ac:dyDescent="0.25">
      <c r="B22" s="476"/>
      <c r="C22" t="s">
        <v>53</v>
      </c>
      <c r="E22" s="11"/>
      <c r="F22" s="13">
        <v>16</v>
      </c>
      <c r="G22" s="13">
        <f t="shared" si="0"/>
        <v>0</v>
      </c>
      <c r="H22" s="13">
        <v>4.47</v>
      </c>
      <c r="I22" s="13">
        <f t="shared" si="1"/>
        <v>0</v>
      </c>
      <c r="J22" s="13"/>
    </row>
    <row r="23" spans="2:10" hidden="1" outlineLevel="1" x14ac:dyDescent="0.25">
      <c r="B23" s="476"/>
      <c r="C23" t="s">
        <v>54</v>
      </c>
      <c r="E23" s="11"/>
      <c r="F23" s="13">
        <v>7</v>
      </c>
      <c r="G23" s="13">
        <f t="shared" si="0"/>
        <v>0</v>
      </c>
      <c r="H23" s="13">
        <v>1.05</v>
      </c>
      <c r="I23" s="13">
        <f t="shared" si="1"/>
        <v>0</v>
      </c>
      <c r="J23" s="13"/>
    </row>
    <row r="24" spans="2:10" hidden="1" outlineLevel="1" x14ac:dyDescent="0.25">
      <c r="B24" s="476"/>
      <c r="C24" t="s">
        <v>55</v>
      </c>
      <c r="E24" s="11"/>
      <c r="F24" s="13">
        <v>9</v>
      </c>
      <c r="G24" s="13">
        <f t="shared" si="0"/>
        <v>0</v>
      </c>
      <c r="H24" s="13">
        <v>2.02</v>
      </c>
      <c r="I24" s="13">
        <f t="shared" si="1"/>
        <v>0</v>
      </c>
      <c r="J24" s="13"/>
    </row>
    <row r="25" spans="2:10" hidden="1" outlineLevel="1" x14ac:dyDescent="0.25">
      <c r="B25" s="476"/>
      <c r="C25" t="s">
        <v>56</v>
      </c>
      <c r="E25" s="11"/>
      <c r="F25" s="13">
        <v>9</v>
      </c>
      <c r="G25" s="13">
        <f t="shared" si="0"/>
        <v>0</v>
      </c>
      <c r="H25" s="13">
        <v>2.2000000000000002</v>
      </c>
      <c r="I25" s="13">
        <f t="shared" si="1"/>
        <v>0</v>
      </c>
      <c r="J25" s="13"/>
    </row>
    <row r="26" spans="2:10" hidden="1" outlineLevel="1" x14ac:dyDescent="0.25">
      <c r="B26" s="476"/>
      <c r="E26" s="11"/>
      <c r="G26" s="13">
        <f t="shared" si="0"/>
        <v>0</v>
      </c>
      <c r="I26" s="13">
        <f t="shared" si="1"/>
        <v>0</v>
      </c>
      <c r="J26" s="13"/>
    </row>
    <row r="27" spans="2:10" hidden="1" outlineLevel="1" x14ac:dyDescent="0.25">
      <c r="B27" s="476"/>
      <c r="C27" t="s">
        <v>57</v>
      </c>
      <c r="E27" s="11"/>
      <c r="F27" s="13">
        <v>8</v>
      </c>
      <c r="G27" s="13">
        <f t="shared" si="0"/>
        <v>0</v>
      </c>
      <c r="H27" s="13">
        <v>1.8</v>
      </c>
      <c r="I27" s="13">
        <f t="shared" si="1"/>
        <v>0</v>
      </c>
      <c r="J27" s="13"/>
    </row>
    <row r="28" spans="2:10" hidden="1" outlineLevel="1" x14ac:dyDescent="0.25">
      <c r="B28" s="476"/>
      <c r="C28" t="s">
        <v>58</v>
      </c>
      <c r="E28" s="11"/>
      <c r="F28" s="13">
        <v>8.5</v>
      </c>
      <c r="G28" s="13">
        <f t="shared" si="0"/>
        <v>0</v>
      </c>
      <c r="H28" s="13">
        <v>2.4</v>
      </c>
      <c r="I28" s="13">
        <f t="shared" si="1"/>
        <v>0</v>
      </c>
      <c r="J28" s="13"/>
    </row>
    <row r="29" spans="2:10" hidden="1" outlineLevel="1" x14ac:dyDescent="0.25">
      <c r="B29" s="476"/>
      <c r="C29" t="s">
        <v>59</v>
      </c>
      <c r="E29" s="11"/>
      <c r="F29" s="13">
        <v>6</v>
      </c>
      <c r="G29" s="13">
        <f t="shared" si="0"/>
        <v>0</v>
      </c>
      <c r="H29" s="13">
        <v>0.45</v>
      </c>
      <c r="I29" s="13">
        <f t="shared" si="1"/>
        <v>0</v>
      </c>
      <c r="J29" s="13"/>
    </row>
    <row r="30" spans="2:10" hidden="1" outlineLevel="1" x14ac:dyDescent="0.25">
      <c r="B30" s="476"/>
      <c r="C30" t="s">
        <v>60</v>
      </c>
      <c r="E30" s="11"/>
      <c r="F30" s="13">
        <v>7</v>
      </c>
      <c r="G30" s="13">
        <f t="shared" si="0"/>
        <v>0</v>
      </c>
      <c r="H30" s="13">
        <v>1.5</v>
      </c>
      <c r="I30" s="13">
        <f t="shared" si="1"/>
        <v>0</v>
      </c>
      <c r="J30" s="13"/>
    </row>
    <row r="31" spans="2:10" hidden="1" outlineLevel="1" x14ac:dyDescent="0.25">
      <c r="B31" s="476"/>
      <c r="C31" t="s">
        <v>373</v>
      </c>
      <c r="E31" s="11"/>
      <c r="F31" s="13">
        <v>13</v>
      </c>
      <c r="G31" s="13">
        <f t="shared" si="0"/>
        <v>0</v>
      </c>
      <c r="H31" s="13">
        <v>1.39</v>
      </c>
      <c r="I31" s="13">
        <f t="shared" si="1"/>
        <v>0</v>
      </c>
      <c r="J31" s="13"/>
    </row>
    <row r="32" spans="2:10" hidden="1" outlineLevel="1" x14ac:dyDescent="0.25">
      <c r="B32" s="476"/>
      <c r="C32" t="s">
        <v>61</v>
      </c>
      <c r="E32" s="11"/>
      <c r="F32" s="13">
        <v>25</v>
      </c>
      <c r="G32" s="13">
        <f t="shared" si="0"/>
        <v>0</v>
      </c>
      <c r="I32" s="13">
        <f t="shared" si="1"/>
        <v>0</v>
      </c>
      <c r="J32" s="13"/>
    </row>
    <row r="33" spans="2:10" hidden="1" outlineLevel="1" x14ac:dyDescent="0.25">
      <c r="B33" s="476"/>
      <c r="C33" t="s">
        <v>62</v>
      </c>
      <c r="E33" s="11"/>
      <c r="G33" s="13">
        <f t="shared" ref="G33" si="2">E33*F33</f>
        <v>0</v>
      </c>
      <c r="I33" s="13">
        <f t="shared" ref="I33" si="3">E33*H33</f>
        <v>0</v>
      </c>
      <c r="J33" s="13"/>
    </row>
    <row r="34" spans="2:10" collapsed="1" x14ac:dyDescent="0.25"/>
    <row r="35" spans="2:10" x14ac:dyDescent="0.25">
      <c r="B35" s="476"/>
      <c r="C35" s="439" t="s">
        <v>63</v>
      </c>
      <c r="D35" s="439"/>
      <c r="E35" s="439" t="s">
        <v>64</v>
      </c>
      <c r="F35" s="439" t="s">
        <v>8</v>
      </c>
      <c r="G35" s="439" t="s">
        <v>45</v>
      </c>
      <c r="H35" s="439"/>
      <c r="I35" s="621" t="s">
        <v>47</v>
      </c>
      <c r="J35" s="621"/>
    </row>
    <row r="36" spans="2:10" ht="25.5" hidden="1" customHeight="1" outlineLevel="1" x14ac:dyDescent="0.25">
      <c r="B36" s="619" t="s">
        <v>452</v>
      </c>
      <c r="C36" s="477" t="s">
        <v>65</v>
      </c>
      <c r="D36" s="477"/>
      <c r="E36" s="11"/>
      <c r="F36" s="13">
        <v>85</v>
      </c>
      <c r="G36" s="13">
        <f t="shared" ref="G36:G42" si="4">E36*F36</f>
        <v>0</v>
      </c>
      <c r="I36" s="11"/>
      <c r="J36" s="11"/>
    </row>
    <row r="37" spans="2:10" ht="15" hidden="1" customHeight="1" outlineLevel="1" x14ac:dyDescent="0.25">
      <c r="B37" s="619"/>
      <c r="C37" s="477" t="s">
        <v>66</v>
      </c>
      <c r="D37" s="477"/>
      <c r="E37" s="11"/>
      <c r="F37" s="13">
        <v>85</v>
      </c>
      <c r="G37" s="13">
        <f t="shared" si="4"/>
        <v>0</v>
      </c>
      <c r="I37" s="11"/>
      <c r="J37" s="11"/>
    </row>
    <row r="38" spans="2:10" hidden="1" outlineLevel="1" x14ac:dyDescent="0.25">
      <c r="B38" s="619"/>
      <c r="C38" s="477" t="s">
        <v>67</v>
      </c>
      <c r="D38" s="477"/>
      <c r="E38" s="11"/>
      <c r="F38" s="13">
        <v>85</v>
      </c>
      <c r="G38" s="13">
        <f t="shared" si="4"/>
        <v>0</v>
      </c>
      <c r="I38" s="11"/>
      <c r="J38" s="11"/>
    </row>
    <row r="39" spans="2:10" hidden="1" outlineLevel="1" x14ac:dyDescent="0.25">
      <c r="B39" s="619"/>
      <c r="C39" s="477" t="s">
        <v>68</v>
      </c>
      <c r="D39" s="477"/>
      <c r="E39" s="11"/>
      <c r="F39" s="13">
        <v>85</v>
      </c>
      <c r="G39" s="13">
        <f t="shared" si="4"/>
        <v>0</v>
      </c>
      <c r="I39" s="11"/>
      <c r="J39" s="11"/>
    </row>
    <row r="40" spans="2:10" ht="29.25" hidden="1" customHeight="1" outlineLevel="1" x14ac:dyDescent="0.25">
      <c r="B40" s="619"/>
      <c r="C40" s="477" t="s">
        <v>69</v>
      </c>
      <c r="D40" s="477"/>
      <c r="E40" s="11"/>
      <c r="F40" s="13">
        <v>85</v>
      </c>
      <c r="G40" s="13">
        <f t="shared" si="4"/>
        <v>0</v>
      </c>
      <c r="I40" s="11"/>
      <c r="J40" s="11"/>
    </row>
    <row r="41" spans="2:10" hidden="1" outlineLevel="1" x14ac:dyDescent="0.25">
      <c r="B41" s="619"/>
      <c r="C41" s="477" t="s">
        <v>70</v>
      </c>
      <c r="D41" s="477"/>
      <c r="E41" s="11"/>
      <c r="F41" s="13">
        <v>85</v>
      </c>
      <c r="G41" s="13">
        <f t="shared" si="4"/>
        <v>0</v>
      </c>
      <c r="I41" s="11"/>
      <c r="J41" s="11"/>
    </row>
    <row r="42" spans="2:10" ht="15" hidden="1" customHeight="1" outlineLevel="1" x14ac:dyDescent="0.25">
      <c r="B42" s="619"/>
      <c r="C42" s="477" t="s">
        <v>62</v>
      </c>
      <c r="D42" s="477"/>
      <c r="E42" s="11"/>
      <c r="F42" s="13">
        <v>85</v>
      </c>
      <c r="G42" s="13">
        <f t="shared" si="4"/>
        <v>0</v>
      </c>
      <c r="I42" s="11"/>
      <c r="J42" s="11"/>
    </row>
    <row r="43" spans="2:10" ht="30" hidden="1" customHeight="1" outlineLevel="1" x14ac:dyDescent="0.25">
      <c r="B43" s="618" t="s">
        <v>455</v>
      </c>
      <c r="C43" s="478" t="s">
        <v>65</v>
      </c>
      <c r="D43" s="478"/>
      <c r="E43" s="11"/>
      <c r="F43" s="13">
        <v>85</v>
      </c>
      <c r="G43" s="13">
        <f t="shared" ref="G43:G50" si="5">E43*F43</f>
        <v>0</v>
      </c>
      <c r="I43" s="11"/>
      <c r="J43" s="11"/>
    </row>
    <row r="44" spans="2:10" ht="15" hidden="1" customHeight="1" outlineLevel="1" x14ac:dyDescent="0.25">
      <c r="B44" s="618"/>
      <c r="C44" s="478" t="s">
        <v>71</v>
      </c>
      <c r="D44" s="478"/>
      <c r="E44" s="11"/>
      <c r="F44" s="13">
        <v>85</v>
      </c>
      <c r="G44" s="13">
        <f t="shared" si="5"/>
        <v>0</v>
      </c>
      <c r="I44" s="11"/>
      <c r="J44" s="11"/>
    </row>
    <row r="45" spans="2:10" hidden="1" outlineLevel="1" x14ac:dyDescent="0.25">
      <c r="B45" s="618"/>
      <c r="C45" s="478" t="s">
        <v>72</v>
      </c>
      <c r="D45" s="478"/>
      <c r="E45" s="11"/>
      <c r="F45" s="13">
        <v>85</v>
      </c>
      <c r="G45" s="13">
        <f t="shared" si="5"/>
        <v>0</v>
      </c>
      <c r="I45" s="11"/>
      <c r="J45" s="11"/>
    </row>
    <row r="46" spans="2:10" hidden="1" outlineLevel="1" x14ac:dyDescent="0.25">
      <c r="B46" s="618"/>
      <c r="C46" s="478" t="s">
        <v>73</v>
      </c>
      <c r="D46" s="478"/>
      <c r="E46" s="11"/>
      <c r="F46" s="13">
        <v>85</v>
      </c>
      <c r="G46" s="13">
        <f t="shared" si="5"/>
        <v>0</v>
      </c>
      <c r="I46" s="11"/>
      <c r="J46" s="11"/>
    </row>
    <row r="47" spans="2:10" hidden="1" outlineLevel="1" x14ac:dyDescent="0.25">
      <c r="B47" s="618"/>
      <c r="C47" s="478" t="s">
        <v>74</v>
      </c>
      <c r="D47" s="478"/>
      <c r="E47" s="11"/>
      <c r="F47" s="13">
        <v>85</v>
      </c>
      <c r="G47" s="13">
        <f t="shared" si="5"/>
        <v>0</v>
      </c>
      <c r="I47" s="11"/>
      <c r="J47" s="11"/>
    </row>
    <row r="48" spans="2:10" ht="36.75" hidden="1" customHeight="1" outlineLevel="1" x14ac:dyDescent="0.25">
      <c r="B48" s="618"/>
      <c r="C48" s="478" t="s">
        <v>75</v>
      </c>
      <c r="D48" s="478"/>
      <c r="E48" s="11"/>
      <c r="F48" s="13">
        <v>85</v>
      </c>
      <c r="G48" s="13">
        <f t="shared" si="5"/>
        <v>0</v>
      </c>
      <c r="I48" s="11"/>
      <c r="J48" s="11"/>
    </row>
    <row r="49" spans="1:14" hidden="1" outlineLevel="1" x14ac:dyDescent="0.25">
      <c r="B49" s="618"/>
      <c r="C49" s="478" t="s">
        <v>76</v>
      </c>
      <c r="D49" s="478"/>
      <c r="E49" s="11"/>
      <c r="F49" s="13">
        <v>85</v>
      </c>
      <c r="G49" s="13">
        <f t="shared" si="5"/>
        <v>0</v>
      </c>
      <c r="I49" s="11"/>
      <c r="J49" s="11"/>
    </row>
    <row r="50" spans="1:14" hidden="1" outlineLevel="1" x14ac:dyDescent="0.25">
      <c r="B50" s="618"/>
      <c r="C50" s="478" t="s">
        <v>77</v>
      </c>
      <c r="D50" s="478"/>
      <c r="E50" s="11"/>
      <c r="F50" s="13">
        <v>85</v>
      </c>
      <c r="G50" s="13">
        <f t="shared" si="5"/>
        <v>0</v>
      </c>
      <c r="I50" s="11"/>
      <c r="J50" s="11"/>
    </row>
    <row r="51" spans="1:14" ht="36.75" hidden="1" customHeight="1" outlineLevel="1" x14ac:dyDescent="0.25">
      <c r="B51" s="617" t="s">
        <v>454</v>
      </c>
      <c r="C51" s="479" t="s">
        <v>65</v>
      </c>
      <c r="D51" s="479"/>
      <c r="E51" s="11"/>
      <c r="F51" s="13">
        <v>85</v>
      </c>
      <c r="G51" s="13">
        <f t="shared" ref="G51:G58" si="6">E51*F51</f>
        <v>0</v>
      </c>
      <c r="I51" s="11"/>
      <c r="J51" s="11"/>
    </row>
    <row r="52" spans="1:14" ht="15" hidden="1" customHeight="1" outlineLevel="1" x14ac:dyDescent="0.25">
      <c r="B52" s="617"/>
      <c r="C52" s="479" t="s">
        <v>78</v>
      </c>
      <c r="D52" s="479"/>
      <c r="E52" s="11"/>
      <c r="F52" s="13">
        <v>85</v>
      </c>
      <c r="G52" s="13">
        <f t="shared" si="6"/>
        <v>0</v>
      </c>
      <c r="I52" s="11"/>
      <c r="J52" s="11"/>
    </row>
    <row r="53" spans="1:14" ht="32.25" hidden="1" customHeight="1" outlineLevel="1" x14ac:dyDescent="0.25">
      <c r="B53" s="617"/>
      <c r="C53" s="479" t="s">
        <v>73</v>
      </c>
      <c r="D53" s="479"/>
      <c r="E53" s="11"/>
      <c r="F53" s="13">
        <v>85</v>
      </c>
      <c r="G53" s="13">
        <f t="shared" si="6"/>
        <v>0</v>
      </c>
      <c r="I53" s="11"/>
      <c r="J53" s="11"/>
    </row>
    <row r="54" spans="1:14" hidden="1" outlineLevel="1" x14ac:dyDescent="0.25">
      <c r="B54" s="617"/>
      <c r="C54" s="479" t="s">
        <v>79</v>
      </c>
      <c r="D54" s="479"/>
      <c r="E54" s="11"/>
      <c r="F54" s="13">
        <v>85</v>
      </c>
      <c r="G54" s="13">
        <f t="shared" si="6"/>
        <v>0</v>
      </c>
      <c r="I54" s="11"/>
      <c r="J54" s="11"/>
    </row>
    <row r="55" spans="1:14" hidden="1" outlineLevel="1" x14ac:dyDescent="0.25">
      <c r="B55" s="617"/>
      <c r="C55" s="479" t="s">
        <v>62</v>
      </c>
      <c r="D55" s="479"/>
      <c r="E55" s="11"/>
      <c r="F55" s="13">
        <v>85</v>
      </c>
      <c r="G55" s="13">
        <f t="shared" si="6"/>
        <v>0</v>
      </c>
      <c r="I55" s="11"/>
      <c r="J55" s="11"/>
    </row>
    <row r="56" spans="1:14" ht="31.5" hidden="1" customHeight="1" outlineLevel="1" x14ac:dyDescent="0.25">
      <c r="B56" s="616" t="s">
        <v>453</v>
      </c>
      <c r="C56" s="480" t="s">
        <v>65</v>
      </c>
      <c r="D56" s="480"/>
      <c r="E56" s="11"/>
      <c r="F56" s="13">
        <v>85</v>
      </c>
      <c r="G56" s="13">
        <f t="shared" si="6"/>
        <v>0</v>
      </c>
      <c r="I56" s="11"/>
      <c r="J56" s="11"/>
    </row>
    <row r="57" spans="1:14" ht="15" hidden="1" customHeight="1" outlineLevel="1" x14ac:dyDescent="0.25">
      <c r="B57" s="616"/>
      <c r="C57" s="480" t="s">
        <v>80</v>
      </c>
      <c r="D57" s="480"/>
      <c r="E57" s="11"/>
      <c r="F57" s="13">
        <v>85</v>
      </c>
      <c r="G57" s="13">
        <f t="shared" si="6"/>
        <v>0</v>
      </c>
      <c r="I57" s="11"/>
      <c r="J57" s="11"/>
    </row>
    <row r="58" spans="1:14" hidden="1" outlineLevel="1" x14ac:dyDescent="0.25">
      <c r="B58" s="616"/>
      <c r="C58" s="480" t="s">
        <v>81</v>
      </c>
      <c r="D58" s="480"/>
      <c r="E58" s="11"/>
      <c r="F58" s="13">
        <v>85</v>
      </c>
      <c r="G58" s="13">
        <f t="shared" si="6"/>
        <v>0</v>
      </c>
      <c r="I58" s="11"/>
      <c r="J58" s="11"/>
    </row>
    <row r="59" spans="1:14" ht="15" customHeight="1" collapsed="1" x14ac:dyDescent="0.25"/>
    <row r="60" spans="1:14" s="18" customFormat="1" ht="14.25" customHeight="1" x14ac:dyDescent="0.25">
      <c r="A60"/>
      <c r="B60" s="615"/>
      <c r="C60" s="615"/>
      <c r="D60" s="615"/>
      <c r="E60"/>
      <c r="F60" s="106"/>
      <c r="G60" s="623" t="s">
        <v>251</v>
      </c>
      <c r="H60" s="623"/>
      <c r="I60" s="626">
        <f>I8+I11+I13</f>
        <v>0</v>
      </c>
      <c r="J60" s="626"/>
      <c r="L60" s="102" t="str">
        <f>IF(H58="No", (2.31%),"")</f>
        <v/>
      </c>
      <c r="N60" s="29"/>
    </row>
    <row r="61" spans="1:14" s="18" customFormat="1" ht="18.75" customHeight="1" x14ac:dyDescent="0.25">
      <c r="A61"/>
      <c r="B61"/>
      <c r="C61"/>
      <c r="D61"/>
      <c r="E61"/>
      <c r="F61" s="109"/>
      <c r="G61" s="110"/>
      <c r="H61" s="108" t="s">
        <v>27</v>
      </c>
      <c r="I61" s="627">
        <f>ROUND(I60*0.05,2)</f>
        <v>0</v>
      </c>
      <c r="J61" s="627"/>
    </row>
    <row r="62" spans="1:14" s="147" customFormat="1" ht="14.45" customHeight="1" x14ac:dyDescent="0.25">
      <c r="A62"/>
      <c r="B62"/>
      <c r="C62"/>
      <c r="D62"/>
      <c r="E62"/>
      <c r="F62" s="106"/>
      <c r="G62" s="157"/>
      <c r="H62" s="158" t="s">
        <v>99</v>
      </c>
      <c r="I62" s="628">
        <f>ROUND(I60*0.07,2)</f>
        <v>0</v>
      </c>
      <c r="J62" s="628"/>
    </row>
    <row r="63" spans="1:14" s="18" customFormat="1" ht="0" hidden="1" customHeight="1" x14ac:dyDescent="0.25">
      <c r="A63"/>
      <c r="I63" s="629"/>
      <c r="J63" s="629"/>
    </row>
    <row r="64" spans="1:14" s="18" customFormat="1" ht="14.45" customHeight="1" x14ac:dyDescent="0.3">
      <c r="A64"/>
      <c r="B64" s="111"/>
      <c r="C64" s="111"/>
      <c r="D64" s="111"/>
      <c r="E64" s="111"/>
      <c r="F64" s="111"/>
      <c r="G64" s="624" t="s">
        <v>258</v>
      </c>
      <c r="H64" s="624"/>
      <c r="I64" s="630">
        <f>I59+I61+I62</f>
        <v>0</v>
      </c>
      <c r="J64" s="630"/>
      <c r="K64"/>
      <c r="L64" s="195"/>
    </row>
    <row r="65" spans="1:12" s="18" customFormat="1" ht="14.45" customHeight="1" x14ac:dyDescent="0.3">
      <c r="A65"/>
      <c r="B65" s="171"/>
      <c r="C65" s="171"/>
      <c r="D65" s="171"/>
      <c r="E65" s="171"/>
      <c r="F65" s="171"/>
      <c r="G65" s="625" t="s">
        <v>259</v>
      </c>
      <c r="H65" s="625"/>
      <c r="I65" s="631">
        <f>I60+I61+I62</f>
        <v>0</v>
      </c>
      <c r="J65" s="631"/>
      <c r="K65"/>
      <c r="L65" s="112"/>
    </row>
  </sheetData>
  <mergeCells count="36">
    <mergeCell ref="B60:D60"/>
    <mergeCell ref="G60:H60"/>
    <mergeCell ref="G64:H64"/>
    <mergeCell ref="G65:H65"/>
    <mergeCell ref="I60:J60"/>
    <mergeCell ref="I61:J61"/>
    <mergeCell ref="I62:J62"/>
    <mergeCell ref="I63:J63"/>
    <mergeCell ref="I64:J64"/>
    <mergeCell ref="I65:J65"/>
    <mergeCell ref="O10:P10"/>
    <mergeCell ref="O11:P11"/>
    <mergeCell ref="B56:B58"/>
    <mergeCell ref="B51:B55"/>
    <mergeCell ref="B43:B50"/>
    <mergeCell ref="B36:B42"/>
    <mergeCell ref="I15:J15"/>
    <mergeCell ref="I35:J35"/>
    <mergeCell ref="I16:J16"/>
    <mergeCell ref="I17:J17"/>
    <mergeCell ref="B16:B17"/>
    <mergeCell ref="D11:E11"/>
    <mergeCell ref="D12:E12"/>
    <mergeCell ref="D13:E13"/>
    <mergeCell ref="I13:J13"/>
    <mergeCell ref="I12:J12"/>
    <mergeCell ref="B2:C2"/>
    <mergeCell ref="I3:J3"/>
    <mergeCell ref="C6:J6"/>
    <mergeCell ref="I11:J11"/>
    <mergeCell ref="I10:J10"/>
    <mergeCell ref="I9:J9"/>
    <mergeCell ref="I8:J8"/>
    <mergeCell ref="D8:E8"/>
    <mergeCell ref="D9:E9"/>
    <mergeCell ref="D10:E10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2464" r:id="rId3" name="Option Button 16">
              <controlPr defaultSize="0" autoFill="0" autoLine="0" autoPict="0" altText="">
                <anchor moveWithCells="1">
                  <from>
                    <xdr:col>1</xdr:col>
                    <xdr:colOff>0</xdr:colOff>
                    <xdr:row>0</xdr:row>
                    <xdr:rowOff>0</xdr:rowOff>
                  </from>
                  <to>
                    <xdr:col>2</xdr:col>
                    <xdr:colOff>28575</xdr:colOff>
                    <xdr:row>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465" r:id="rId4" name="Option Button 17">
              <controlPr defaultSize="0" autoFill="0" autoLine="0" autoPict="0">
                <anchor moveWithCells="1">
                  <from>
                    <xdr:col>1</xdr:col>
                    <xdr:colOff>0</xdr:colOff>
                    <xdr:row>0</xdr:row>
                    <xdr:rowOff>0</xdr:rowOff>
                  </from>
                  <to>
                    <xdr:col>2</xdr:col>
                    <xdr:colOff>28575</xdr:colOff>
                    <xdr:row>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466" r:id="rId5" name="Option Button 18">
              <controlPr defaultSize="0" autoFill="0" autoLine="0" autoPict="0">
                <anchor moveWithCells="1">
                  <from>
                    <xdr:col>1</xdr:col>
                    <xdr:colOff>0</xdr:colOff>
                    <xdr:row>0</xdr:row>
                    <xdr:rowOff>0</xdr:rowOff>
                  </from>
                  <to>
                    <xdr:col>2</xdr:col>
                    <xdr:colOff>38100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467" r:id="rId6" name="Option Button 19">
              <controlPr defaultSize="0" autoFill="0" autoLine="0" autoPict="0">
                <anchor moveWithCells="1">
                  <from>
                    <xdr:col>1</xdr:col>
                    <xdr:colOff>0</xdr:colOff>
                    <xdr:row>0</xdr:row>
                    <xdr:rowOff>0</xdr:rowOff>
                  </from>
                  <to>
                    <xdr:col>2</xdr:col>
                    <xdr:colOff>28575</xdr:colOff>
                    <xdr:row>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468" r:id="rId7" name="Option Button 20">
              <controlPr defaultSize="0" autoFill="0" autoLine="0" autoPict="0">
                <anchor moveWithCells="1">
                  <from>
                    <xdr:col>1</xdr:col>
                    <xdr:colOff>0</xdr:colOff>
                    <xdr:row>0</xdr:row>
                    <xdr:rowOff>0</xdr:rowOff>
                  </from>
                  <to>
                    <xdr:col>2</xdr:col>
                    <xdr:colOff>19050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469" r:id="rId8" name="Option Button 21">
              <controlPr defaultSize="0" autoFill="0" autoLine="0" autoPict="0">
                <anchor moveWithCells="1">
                  <from>
                    <xdr:col>1</xdr:col>
                    <xdr:colOff>0</xdr:colOff>
                    <xdr:row>0</xdr:row>
                    <xdr:rowOff>0</xdr:rowOff>
                  </from>
                  <to>
                    <xdr:col>2</xdr:col>
                    <xdr:colOff>28575</xdr:colOff>
                    <xdr:row>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470" r:id="rId9" name="Option Button 22">
              <controlPr defaultSize="0" autoFill="0" autoLine="0" autoPict="0">
                <anchor moveWithCells="1">
                  <from>
                    <xdr:col>1</xdr:col>
                    <xdr:colOff>0</xdr:colOff>
                    <xdr:row>0</xdr:row>
                    <xdr:rowOff>0</xdr:rowOff>
                  </from>
                  <to>
                    <xdr:col>2</xdr:col>
                    <xdr:colOff>38100</xdr:colOff>
                    <xdr:row>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471" r:id="rId10" name="Option Button 23">
              <controlPr defaultSize="0" autoFill="0" autoLine="0" autoPict="0">
                <anchor moveWithCells="1">
                  <from>
                    <xdr:col>1</xdr:col>
                    <xdr:colOff>0</xdr:colOff>
                    <xdr:row>0</xdr:row>
                    <xdr:rowOff>0</xdr:rowOff>
                  </from>
                  <to>
                    <xdr:col>2</xdr:col>
                    <xdr:colOff>47625</xdr:colOff>
                    <xdr:row>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472" r:id="rId11" name="Option Button 24">
              <controlPr defaultSize="0" autoFill="0" autoLine="0" autoPict="0">
                <anchor moveWithCells="1">
                  <from>
                    <xdr:col>1</xdr:col>
                    <xdr:colOff>0</xdr:colOff>
                    <xdr:row>0</xdr:row>
                    <xdr:rowOff>0</xdr:rowOff>
                  </from>
                  <to>
                    <xdr:col>2</xdr:col>
                    <xdr:colOff>47625</xdr:colOff>
                    <xdr:row>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473" r:id="rId12" name="Option Button 25">
              <controlPr defaultSize="0" autoFill="0" autoLine="0" autoPict="0">
                <anchor moveWithCells="1">
                  <from>
                    <xdr:col>1</xdr:col>
                    <xdr:colOff>0</xdr:colOff>
                    <xdr:row>0</xdr:row>
                    <xdr:rowOff>0</xdr:rowOff>
                  </from>
                  <to>
                    <xdr:col>2</xdr:col>
                    <xdr:colOff>28575</xdr:colOff>
                    <xdr:row>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474" r:id="rId13" name="Check Box 26">
              <controlPr defaultSize="0" autoFill="0" autoLine="0" autoPict="0">
                <anchor moveWithCells="1">
                  <from>
                    <xdr:col>1</xdr:col>
                    <xdr:colOff>0</xdr:colOff>
                    <xdr:row>0</xdr:row>
                    <xdr:rowOff>0</xdr:rowOff>
                  </from>
                  <to>
                    <xdr:col>2</xdr:col>
                    <xdr:colOff>76200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475" r:id="rId14" name="Check Box 27">
              <controlPr defaultSize="0" autoFill="0" autoLine="0" autoPict="0">
                <anchor moveWithCells="1">
                  <from>
                    <xdr:col>1</xdr:col>
                    <xdr:colOff>0</xdr:colOff>
                    <xdr:row>0</xdr:row>
                    <xdr:rowOff>0</xdr:rowOff>
                  </from>
                  <to>
                    <xdr:col>2</xdr:col>
                    <xdr:colOff>19050</xdr:colOff>
                    <xdr:row>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476" r:id="rId15" name="Check Box 28">
              <controlPr defaultSize="0" autoFill="0" autoLine="0" autoPict="0">
                <anchor moveWithCells="1">
                  <from>
                    <xdr:col>1</xdr:col>
                    <xdr:colOff>0</xdr:colOff>
                    <xdr:row>0</xdr:row>
                    <xdr:rowOff>0</xdr:rowOff>
                  </from>
                  <to>
                    <xdr:col>2</xdr:col>
                    <xdr:colOff>57150</xdr:colOff>
                    <xdr:row>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477" r:id="rId16" name="Check Box 29">
              <controlPr defaultSize="0" autoFill="0" autoLine="0" autoPict="0">
                <anchor moveWithCells="1">
                  <from>
                    <xdr:col>1</xdr:col>
                    <xdr:colOff>0</xdr:colOff>
                    <xdr:row>0</xdr:row>
                    <xdr:rowOff>0</xdr:rowOff>
                  </from>
                  <to>
                    <xdr:col>2</xdr:col>
                    <xdr:colOff>47625</xdr:colOff>
                    <xdr:row>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478" r:id="rId17" name="Check Box 30">
              <controlPr defaultSize="0" autoFill="0" autoLine="0" autoPict="0">
                <anchor moveWithCells="1">
                  <from>
                    <xdr:col>1</xdr:col>
                    <xdr:colOff>0</xdr:colOff>
                    <xdr:row>0</xdr:row>
                    <xdr:rowOff>0</xdr:rowOff>
                  </from>
                  <to>
                    <xdr:col>2</xdr:col>
                    <xdr:colOff>47625</xdr:colOff>
                    <xdr:row>1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99F480-5D5F-4C04-A595-06ACCB015D51}">
  <sheetPr codeName="Sheet7">
    <pageSetUpPr fitToPage="1"/>
  </sheetPr>
  <dimension ref="A1:R113"/>
  <sheetViews>
    <sheetView zoomScale="115" zoomScaleNormal="115" zoomScaleSheetLayoutView="100" workbookViewId="0">
      <selection activeCell="B16" sqref="B16:D16"/>
    </sheetView>
  </sheetViews>
  <sheetFormatPr defaultColWidth="0" defaultRowHeight="0" customHeight="1" zeroHeight="1" x14ac:dyDescent="0.25"/>
  <cols>
    <col min="1" max="1" width="5.5703125" style="30" customWidth="1"/>
    <col min="2" max="2" width="23.140625" style="18" customWidth="1"/>
    <col min="3" max="3" width="17.42578125" style="18" customWidth="1"/>
    <col min="4" max="4" width="10.28515625" style="18" customWidth="1"/>
    <col min="5" max="5" width="8.7109375" style="18" customWidth="1"/>
    <col min="6" max="6" width="7.7109375" style="18" hidden="1" customWidth="1"/>
    <col min="7" max="7" width="22.7109375" style="18" customWidth="1"/>
    <col min="8" max="8" width="7" style="18" customWidth="1"/>
    <col min="9" max="9" width="12.28515625" style="18" customWidth="1"/>
    <col min="10" max="10" width="2.85546875" style="18" customWidth="1"/>
    <col min="11" max="11" width="25.140625" style="18" hidden="1" customWidth="1"/>
    <col min="12" max="12" width="18.140625" style="18" hidden="1" customWidth="1"/>
    <col min="13" max="18" width="0" style="18" hidden="1" customWidth="1"/>
    <col min="19" max="16384" width="6.28515625" style="18" hidden="1"/>
  </cols>
  <sheetData>
    <row r="1" spans="1:18" ht="51" customHeight="1" x14ac:dyDescent="0.25">
      <c r="A1" s="116"/>
      <c r="B1" s="117"/>
      <c r="C1" s="668" t="s">
        <v>85</v>
      </c>
      <c r="D1" s="668"/>
      <c r="E1" s="668"/>
      <c r="F1" s="668"/>
      <c r="G1" s="668"/>
      <c r="H1" s="668"/>
      <c r="I1" s="668"/>
      <c r="J1" s="668"/>
      <c r="K1" s="26"/>
      <c r="L1" s="26"/>
      <c r="M1" s="26"/>
      <c r="N1" s="26"/>
      <c r="O1" s="26"/>
      <c r="P1" s="26"/>
      <c r="Q1" s="26"/>
      <c r="R1" s="26"/>
    </row>
    <row r="2" spans="1:18" ht="14.45" customHeight="1" thickBot="1" x14ac:dyDescent="0.3">
      <c r="A2" s="606"/>
      <c r="B2" s="606"/>
      <c r="C2" s="26"/>
      <c r="D2" s="26"/>
      <c r="H2" s="26"/>
      <c r="I2" s="26"/>
      <c r="J2" s="26"/>
      <c r="K2" s="31"/>
      <c r="L2" s="26"/>
      <c r="M2" s="26"/>
      <c r="N2" s="26"/>
      <c r="O2" s="26"/>
      <c r="P2" s="26"/>
      <c r="Q2" s="26"/>
      <c r="R2" s="26"/>
    </row>
    <row r="3" spans="1:18" ht="14.45" customHeight="1" thickBot="1" x14ac:dyDescent="0.3">
      <c r="A3" s="118" t="s">
        <v>87</v>
      </c>
      <c r="B3" s="119" t="s">
        <v>23</v>
      </c>
      <c r="G3" s="120" t="s">
        <v>84</v>
      </c>
      <c r="H3" s="607">
        <f>'QUOTE START'!C5</f>
        <v>0</v>
      </c>
      <c r="I3" s="608"/>
      <c r="K3" s="32"/>
    </row>
    <row r="4" spans="1:18" ht="14.45" customHeight="1" x14ac:dyDescent="0.25">
      <c r="A4" s="18"/>
      <c r="H4" s="121"/>
      <c r="I4" s="121"/>
      <c r="K4" s="32"/>
    </row>
    <row r="5" spans="1:18" ht="14.45" customHeight="1" thickBot="1" x14ac:dyDescent="0.3">
      <c r="B5" s="119" t="s">
        <v>39</v>
      </c>
      <c r="C5" s="119"/>
      <c r="D5" s="119"/>
      <c r="K5" s="32"/>
    </row>
    <row r="6" spans="1:18" ht="14.45" customHeight="1" thickBot="1" x14ac:dyDescent="0.3">
      <c r="B6" s="609" t="s">
        <v>461</v>
      </c>
      <c r="C6" s="610"/>
      <c r="D6" s="610"/>
      <c r="E6" s="610"/>
      <c r="F6" s="610"/>
      <c r="G6" s="610"/>
      <c r="H6" s="610"/>
      <c r="I6" s="611"/>
      <c r="K6" s="32"/>
    </row>
    <row r="7" spans="1:18" ht="14.45" customHeight="1" thickBot="1" x14ac:dyDescent="0.3">
      <c r="K7" s="32"/>
    </row>
    <row r="8" spans="1:18" ht="14.45" customHeight="1" thickTop="1" thickBot="1" x14ac:dyDescent="0.3">
      <c r="B8" s="645" t="s">
        <v>88</v>
      </c>
      <c r="C8" s="645"/>
      <c r="D8" s="670"/>
      <c r="E8" s="122"/>
      <c r="F8" s="123"/>
      <c r="G8" s="645" t="s">
        <v>37</v>
      </c>
      <c r="H8" s="646"/>
      <c r="I8" s="8"/>
      <c r="K8" s="32"/>
    </row>
    <row r="9" spans="1:18" ht="14.45" customHeight="1" thickTop="1" thickBot="1" x14ac:dyDescent="0.3">
      <c r="B9" s="645" t="s">
        <v>44</v>
      </c>
      <c r="C9" s="645"/>
      <c r="D9" s="670"/>
      <c r="E9" s="124"/>
      <c r="F9" s="123"/>
      <c r="G9" s="645" t="s">
        <v>22</v>
      </c>
      <c r="H9" s="646"/>
      <c r="I9" s="125"/>
      <c r="K9" s="32"/>
    </row>
    <row r="10" spans="1:18" ht="14.45" customHeight="1" thickTop="1" thickBot="1" x14ac:dyDescent="0.3">
      <c r="B10" s="671" t="s">
        <v>13</v>
      </c>
      <c r="C10" s="671"/>
      <c r="D10" s="672"/>
      <c r="E10" s="122"/>
      <c r="G10" s="645" t="s">
        <v>25</v>
      </c>
      <c r="H10" s="646"/>
      <c r="I10" s="125"/>
      <c r="K10" s="32"/>
    </row>
    <row r="11" spans="1:18" ht="14.45" customHeight="1" thickTop="1" thickBot="1" x14ac:dyDescent="0.3">
      <c r="B11" s="645" t="s">
        <v>18</v>
      </c>
      <c r="C11" s="645"/>
      <c r="D11" s="646"/>
      <c r="E11" s="8"/>
      <c r="G11" s="645" t="s">
        <v>38</v>
      </c>
      <c r="H11" s="646"/>
      <c r="I11" s="125"/>
      <c r="K11" s="32"/>
    </row>
    <row r="12" spans="1:18" ht="14.45" customHeight="1" thickBot="1" x14ac:dyDescent="0.3">
      <c r="B12" s="645" t="s">
        <v>26</v>
      </c>
      <c r="C12" s="645"/>
      <c r="D12" s="663"/>
      <c r="E12" s="126" t="str">
        <f>IF(E8="","",VLOOKUP(E8,'Input Table'!$A$1:$V$23,LOOKUP(E9,'Input Table'!$B$1:$V$1,'Input Table'!$B$2:$V$2),TRUE))</f>
        <v/>
      </c>
      <c r="G12" s="645" t="s">
        <v>42</v>
      </c>
      <c r="H12" s="646"/>
      <c r="I12" s="125"/>
    </row>
    <row r="13" spans="1:18" ht="14.45" customHeight="1" thickBot="1" x14ac:dyDescent="0.3">
      <c r="B13" s="645"/>
      <c r="C13" s="645"/>
      <c r="D13" s="645"/>
      <c r="E13" s="645"/>
      <c r="G13" s="645" t="s">
        <v>86</v>
      </c>
      <c r="H13" s="645"/>
      <c r="I13" s="127"/>
    </row>
    <row r="14" spans="1:18" ht="14.45" customHeight="1" x14ac:dyDescent="0.25">
      <c r="B14" s="606"/>
      <c r="C14" s="606"/>
      <c r="D14" s="606"/>
      <c r="E14" s="606"/>
      <c r="G14" s="645" t="s">
        <v>17</v>
      </c>
      <c r="H14" s="662"/>
      <c r="I14" s="20">
        <f>ROUND(E8*E9/144,2)</f>
        <v>0</v>
      </c>
      <c r="J14"/>
    </row>
    <row r="15" spans="1:18" s="174" customFormat="1" ht="15.75" customHeight="1" x14ac:dyDescent="0.25">
      <c r="A15" s="178"/>
      <c r="B15" s="647" t="s">
        <v>20</v>
      </c>
      <c r="C15" s="647"/>
      <c r="D15" s="647"/>
      <c r="E15" s="178" t="s">
        <v>8</v>
      </c>
      <c r="F15" s="178"/>
      <c r="G15" s="178" t="s">
        <v>9</v>
      </c>
      <c r="H15" s="178" t="s">
        <v>10</v>
      </c>
      <c r="I15" s="178" t="s">
        <v>11</v>
      </c>
      <c r="J15" s="178"/>
    </row>
    <row r="16" spans="1:18" customFormat="1" ht="24" customHeight="1" thickBot="1" x14ac:dyDescent="0.3">
      <c r="A16" s="18"/>
      <c r="B16" s="664" t="s">
        <v>254</v>
      </c>
      <c r="C16" s="664"/>
      <c r="D16" s="664"/>
      <c r="E16" s="487">
        <f>IF(B16="Custom", E17, IF(ISBLANK(B16), "", VLOOKUP(B16, 'SUBSTRATE MASTER'!A1:F12, 6, FALSE)))</f>
        <v>0</v>
      </c>
      <c r="F16" s="103">
        <f>E16</f>
        <v>0</v>
      </c>
      <c r="G16" s="293"/>
      <c r="H16" s="128">
        <f>IF(OR(E16="0",E16="Custom"),E17+1,E16+1)</f>
        <v>1</v>
      </c>
      <c r="I16" s="105" t="e">
        <f>E12*H16</f>
        <v>#VALUE!</v>
      </c>
    </row>
    <row r="17" spans="1:10" customFormat="1" ht="14.45" hidden="1" customHeight="1" thickBot="1" x14ac:dyDescent="0.3">
      <c r="A17" s="14">
        <v>11</v>
      </c>
      <c r="B17" s="648" t="s">
        <v>255</v>
      </c>
      <c r="C17" s="649"/>
      <c r="D17" s="650"/>
      <c r="E17" s="104">
        <v>0</v>
      </c>
      <c r="H17" t="str">
        <f>IF($F$26=20,1+E17,"")</f>
        <v/>
      </c>
      <c r="I17" s="9" t="str">
        <f>IF(H17="","",$E$12*H17)</f>
        <v/>
      </c>
    </row>
    <row r="18" spans="1:10" ht="14.45" hidden="1" customHeight="1" x14ac:dyDescent="0.25">
      <c r="A18" s="14">
        <v>1</v>
      </c>
      <c r="B18" s="637" t="s">
        <v>89</v>
      </c>
      <c r="C18" s="637"/>
      <c r="D18" s="637"/>
      <c r="E18" s="15">
        <v>-0.1</v>
      </c>
      <c r="F18" s="16"/>
      <c r="G18"/>
      <c r="H18" t="str">
        <f>IF($F$26=11,1+E18,"")</f>
        <v/>
      </c>
      <c r="I18" s="9" t="str">
        <f>IF(H18="","",$E$12*H18)</f>
        <v/>
      </c>
      <c r="J18"/>
    </row>
    <row r="19" spans="1:10" ht="14.45" hidden="1" customHeight="1" x14ac:dyDescent="0.25">
      <c r="A19" s="14">
        <v>3</v>
      </c>
      <c r="B19" s="637" t="s">
        <v>0</v>
      </c>
      <c r="C19" s="637"/>
      <c r="D19" s="637"/>
      <c r="E19" s="15">
        <v>0</v>
      </c>
      <c r="F19" s="16"/>
      <c r="G19"/>
      <c r="H19" t="str">
        <f>IF($F$26=12,1+E19,"")</f>
        <v/>
      </c>
      <c r="I19" s="9" t="str">
        <f>IF(H19="","",$E$12*H19)</f>
        <v/>
      </c>
      <c r="J19"/>
    </row>
    <row r="20" spans="1:10" ht="14.45" hidden="1" customHeight="1" x14ac:dyDescent="0.25">
      <c r="A20" s="14">
        <v>4</v>
      </c>
      <c r="B20" s="637" t="s">
        <v>1</v>
      </c>
      <c r="C20" s="637"/>
      <c r="D20" s="637"/>
      <c r="E20" s="15">
        <v>0.6</v>
      </c>
      <c r="F20" s="16"/>
      <c r="G20"/>
      <c r="H20" t="str">
        <f>IF($F$26=13,1+E20,"")</f>
        <v/>
      </c>
      <c r="I20" s="9" t="str">
        <f t="shared" ref="I20:I25" si="0">IF(H20="","",$E$12*H20)</f>
        <v/>
      </c>
      <c r="J20"/>
    </row>
    <row r="21" spans="1:10" ht="14.45" hidden="1" customHeight="1" x14ac:dyDescent="0.25">
      <c r="A21" s="14">
        <v>5</v>
      </c>
      <c r="B21" s="637" t="s">
        <v>2</v>
      </c>
      <c r="C21" s="637"/>
      <c r="D21" s="637"/>
      <c r="E21" s="15">
        <v>0.5</v>
      </c>
      <c r="F21" s="16"/>
      <c r="G21"/>
      <c r="H21" t="str">
        <f>IF($F$26=14,1+E21,"")</f>
        <v/>
      </c>
      <c r="I21" s="9" t="str">
        <f t="shared" si="0"/>
        <v/>
      </c>
      <c r="J21"/>
    </row>
    <row r="22" spans="1:10" ht="14.45" hidden="1" customHeight="1" x14ac:dyDescent="0.25">
      <c r="A22" s="14">
        <v>6</v>
      </c>
      <c r="B22" s="637" t="s">
        <v>3</v>
      </c>
      <c r="C22" s="637"/>
      <c r="D22" s="637"/>
      <c r="E22" s="15">
        <v>0.6</v>
      </c>
      <c r="F22" s="16"/>
      <c r="G22"/>
      <c r="H22" t="str">
        <f>IF($F$26=15,1+E22,"")</f>
        <v/>
      </c>
      <c r="I22" s="9" t="str">
        <f t="shared" si="0"/>
        <v/>
      </c>
      <c r="J22"/>
    </row>
    <row r="23" spans="1:10" ht="14.45" hidden="1" customHeight="1" x14ac:dyDescent="0.25">
      <c r="A23" s="14">
        <v>7</v>
      </c>
      <c r="B23" s="637" t="s">
        <v>4</v>
      </c>
      <c r="C23" s="637"/>
      <c r="D23" s="637"/>
      <c r="E23" s="15">
        <v>0.4</v>
      </c>
      <c r="F23" s="16"/>
      <c r="G23"/>
      <c r="H23" t="str">
        <f>IF($F$26=16,1+E23,"")</f>
        <v/>
      </c>
      <c r="I23" s="9" t="str">
        <f t="shared" si="0"/>
        <v/>
      </c>
      <c r="J23"/>
    </row>
    <row r="24" spans="1:10" ht="14.45" hidden="1" customHeight="1" x14ac:dyDescent="0.25">
      <c r="A24" s="14">
        <v>8</v>
      </c>
      <c r="B24" s="637" t="s">
        <v>5</v>
      </c>
      <c r="C24" s="637"/>
      <c r="D24" s="637"/>
      <c r="E24" s="15">
        <v>0</v>
      </c>
      <c r="F24" s="16"/>
      <c r="G24"/>
      <c r="H24" t="str">
        <f>IF($F$26=17,1+E24,"")</f>
        <v/>
      </c>
      <c r="I24" s="9" t="str">
        <f t="shared" si="0"/>
        <v/>
      </c>
      <c r="J24"/>
    </row>
    <row r="25" spans="1:10" ht="14.45" hidden="1" customHeight="1" x14ac:dyDescent="0.25">
      <c r="A25" s="14">
        <v>9</v>
      </c>
      <c r="B25" s="637" t="s">
        <v>6</v>
      </c>
      <c r="C25" s="637"/>
      <c r="D25" s="637"/>
      <c r="E25" s="15">
        <v>1</v>
      </c>
      <c r="F25" s="16"/>
      <c r="G25"/>
      <c r="H25" t="str">
        <f>IF($F$26=18,1+E25,"")</f>
        <v/>
      </c>
      <c r="I25" s="9" t="str">
        <f t="shared" si="0"/>
        <v/>
      </c>
      <c r="J25"/>
    </row>
    <row r="26" spans="1:10" ht="8.25" hidden="1" customHeight="1" x14ac:dyDescent="0.25">
      <c r="A26" s="14">
        <v>10</v>
      </c>
      <c r="B26" s="637" t="s">
        <v>7</v>
      </c>
      <c r="C26" s="637"/>
      <c r="D26" s="637"/>
      <c r="E26" s="15">
        <v>0.9</v>
      </c>
      <c r="F26" s="10">
        <v>0</v>
      </c>
      <c r="G26"/>
      <c r="H26" t="str">
        <f>IF($F$26=19,1+E26,"")</f>
        <v/>
      </c>
      <c r="I26" s="9" t="str">
        <f>IF(H26="","",$E$12*H26)</f>
        <v/>
      </c>
      <c r="J26"/>
    </row>
    <row r="27" spans="1:10" ht="14.45" customHeight="1" x14ac:dyDescent="0.25">
      <c r="A27" s="669" t="s">
        <v>15</v>
      </c>
      <c r="B27" s="669"/>
      <c r="C27" s="669"/>
      <c r="D27" s="669"/>
      <c r="E27" s="669"/>
      <c r="F27" s="669"/>
      <c r="G27" s="669"/>
      <c r="H27" s="669"/>
      <c r="I27" s="23" t="e">
        <f>$E$10*SUM(I16:I26)</f>
        <v>#VALUE!</v>
      </c>
      <c r="J27" s="179"/>
    </row>
    <row r="28" spans="1:10" ht="14.45" customHeight="1" x14ac:dyDescent="0.25">
      <c r="A28" s="176"/>
      <c r="B28" s="644" t="s">
        <v>21</v>
      </c>
      <c r="C28" s="644"/>
      <c r="D28" s="644"/>
      <c r="E28" s="177"/>
      <c r="F28" s="177"/>
      <c r="G28" s="178" t="s">
        <v>9</v>
      </c>
      <c r="H28" s="177"/>
      <c r="I28" s="177"/>
      <c r="J28" s="177"/>
    </row>
    <row r="29" spans="1:10" ht="14.45" hidden="1" customHeight="1" x14ac:dyDescent="0.25">
      <c r="A29" s="129"/>
      <c r="B29" s="640" t="s">
        <v>31</v>
      </c>
      <c r="C29" s="640"/>
      <c r="D29" s="641"/>
      <c r="E29" s="136">
        <v>0.6</v>
      </c>
      <c r="F29" s="34" t="b">
        <v>0</v>
      </c>
      <c r="G29" s="19"/>
      <c r="H29" s="133"/>
      <c r="I29" s="169" t="str">
        <f>IF(F29=TRUE,E29*$I$27,"")</f>
        <v/>
      </c>
      <c r="J29" s="143"/>
    </row>
    <row r="30" spans="1:10" ht="14.45" hidden="1" customHeight="1" x14ac:dyDescent="0.25">
      <c r="A30" s="129"/>
      <c r="B30" s="638" t="s">
        <v>105</v>
      </c>
      <c r="C30" s="638"/>
      <c r="D30" s="639"/>
      <c r="E30" s="137">
        <v>1</v>
      </c>
      <c r="F30" s="35" t="b">
        <v>0</v>
      </c>
      <c r="G30" s="292"/>
      <c r="H30" s="133">
        <f>$I$14*E$10</f>
        <v>0</v>
      </c>
      <c r="I30" s="169" t="str">
        <f>IF(F30=TRUE,E30*H30,"")</f>
        <v/>
      </c>
      <c r="J30" s="144"/>
    </row>
    <row r="31" spans="1:10" ht="14.45" hidden="1" customHeight="1" x14ac:dyDescent="0.25">
      <c r="A31" s="129"/>
      <c r="B31" s="638" t="s">
        <v>36</v>
      </c>
      <c r="C31" s="638"/>
      <c r="D31" s="639"/>
      <c r="E31" s="137">
        <v>1</v>
      </c>
      <c r="F31" s="36" t="b">
        <v>0</v>
      </c>
      <c r="G31" s="292"/>
      <c r="H31" s="133">
        <f>$I$14*E$10</f>
        <v>0</v>
      </c>
      <c r="I31" s="169" t="str">
        <f>IF(F31=TRUE,E31*H31+20,"")</f>
        <v/>
      </c>
      <c r="J31" s="144"/>
    </row>
    <row r="32" spans="1:10" ht="14.45" hidden="1" customHeight="1" x14ac:dyDescent="0.25">
      <c r="A32" s="129"/>
      <c r="B32" s="638" t="s">
        <v>28</v>
      </c>
      <c r="C32" s="638"/>
      <c r="D32" s="639"/>
      <c r="E32" s="137">
        <v>3</v>
      </c>
      <c r="F32" s="35" t="b">
        <v>0</v>
      </c>
      <c r="G32" s="292"/>
      <c r="H32" s="133">
        <f>$I$14*$E$10</f>
        <v>0</v>
      </c>
      <c r="I32" s="169" t="str">
        <f>IF(F32=TRUE,E32*H32,"")</f>
        <v/>
      </c>
      <c r="J32" s="144"/>
    </row>
    <row r="33" spans="1:10" ht="14.45" hidden="1" customHeight="1" thickBot="1" x14ac:dyDescent="0.3">
      <c r="A33" s="129"/>
      <c r="B33" s="638" t="s">
        <v>32</v>
      </c>
      <c r="C33" s="638"/>
      <c r="D33" s="639"/>
      <c r="E33" s="137">
        <v>4</v>
      </c>
      <c r="F33" s="35" t="b">
        <v>0</v>
      </c>
      <c r="G33" s="292"/>
      <c r="H33" s="133">
        <f>$I$14*$E$10</f>
        <v>0</v>
      </c>
      <c r="I33" s="169" t="str">
        <f>IF(F33=TRUE,E33*H33,"")</f>
        <v/>
      </c>
      <c r="J33" s="144"/>
    </row>
    <row r="34" spans="1:10" ht="14.45" hidden="1" customHeight="1" thickBot="1" x14ac:dyDescent="0.3">
      <c r="A34" s="129"/>
      <c r="B34" s="638" t="s">
        <v>29</v>
      </c>
      <c r="C34" s="638"/>
      <c r="D34" s="639"/>
      <c r="E34" s="137">
        <v>5</v>
      </c>
      <c r="F34" s="22" t="b">
        <v>0</v>
      </c>
      <c r="G34" s="292"/>
      <c r="H34" s="134">
        <f>$I$14*$E$10</f>
        <v>0</v>
      </c>
      <c r="I34" s="169" t="str">
        <f>IF(F34=TRUE,E34*H34,"")</f>
        <v/>
      </c>
      <c r="J34" s="144"/>
    </row>
    <row r="35" spans="1:10" ht="14.45" hidden="1" customHeight="1" x14ac:dyDescent="0.25">
      <c r="A35" s="129"/>
      <c r="B35" s="638" t="s">
        <v>43</v>
      </c>
      <c r="C35" s="638"/>
      <c r="D35" s="639"/>
      <c r="E35" s="137">
        <v>3</v>
      </c>
      <c r="F35" s="22" t="b">
        <v>0</v>
      </c>
      <c r="G35" s="292"/>
      <c r="H35" s="133">
        <f>$I$14*$E$10</f>
        <v>0</v>
      </c>
      <c r="I35" s="169" t="str">
        <f>IF(F35=TRUE,IF(E35*H35&lt;40,40,E35*H35),"")</f>
        <v/>
      </c>
      <c r="J35" s="144"/>
    </row>
    <row r="36" spans="1:10" ht="14.45" hidden="1" customHeight="1" thickBot="1" x14ac:dyDescent="0.3">
      <c r="A36" s="129"/>
      <c r="B36" s="638" t="s">
        <v>92</v>
      </c>
      <c r="C36" s="638"/>
      <c r="D36" s="639"/>
      <c r="E36" s="137">
        <v>3</v>
      </c>
      <c r="F36" s="22" t="b">
        <v>0</v>
      </c>
      <c r="G36" s="292"/>
      <c r="H36" s="133">
        <f>$I$14*$E$10</f>
        <v>0</v>
      </c>
      <c r="I36" s="169" t="str">
        <f>IF(F36=TRUE,E36*H36,"")</f>
        <v/>
      </c>
      <c r="J36" s="144"/>
    </row>
    <row r="37" spans="1:10" ht="14.45" hidden="1" customHeight="1" thickBot="1" x14ac:dyDescent="0.3">
      <c r="A37" s="129"/>
      <c r="B37" s="638" t="s">
        <v>30</v>
      </c>
      <c r="C37" s="638"/>
      <c r="D37" s="639"/>
      <c r="E37" s="137">
        <v>3</v>
      </c>
      <c r="F37" s="22" t="b">
        <v>0</v>
      </c>
      <c r="G37" s="292"/>
      <c r="H37" s="134">
        <f>$E$10</f>
        <v>0</v>
      </c>
      <c r="I37" s="169" t="str">
        <f>IF(F37=TRUE,E37*E10,"")</f>
        <v/>
      </c>
      <c r="J37" s="144"/>
    </row>
    <row r="38" spans="1:10" ht="14.45" hidden="1" customHeight="1" thickBot="1" x14ac:dyDescent="0.3">
      <c r="A38" s="129"/>
      <c r="B38" s="642" t="s">
        <v>90</v>
      </c>
      <c r="C38" s="642"/>
      <c r="D38" s="643"/>
      <c r="E38" s="138">
        <v>50</v>
      </c>
      <c r="F38" s="22" t="b">
        <v>0</v>
      </c>
      <c r="G38" s="292"/>
      <c r="H38" s="134">
        <f>IF(F$38=TRUE,E38,0)</f>
        <v>0</v>
      </c>
      <c r="I38" s="169" t="str">
        <f>IF(F38=TRUE,E38,"")</f>
        <v/>
      </c>
      <c r="J38" s="144"/>
    </row>
    <row r="39" spans="1:10" ht="14.45" hidden="1" customHeight="1" thickBot="1" x14ac:dyDescent="0.3">
      <c r="A39" s="129"/>
      <c r="B39" s="638" t="s">
        <v>16</v>
      </c>
      <c r="C39" s="638"/>
      <c r="D39" s="639"/>
      <c r="E39" s="137">
        <v>96</v>
      </c>
      <c r="F39" s="19"/>
      <c r="G39" s="292"/>
      <c r="H39" s="294">
        <f>$I$9</f>
        <v>0</v>
      </c>
      <c r="I39" s="169" t="str">
        <f>IF(H39=0,"",$E$39*$H$39)</f>
        <v/>
      </c>
      <c r="J39" s="144"/>
    </row>
    <row r="40" spans="1:10" ht="14.45" hidden="1" customHeight="1" thickBot="1" x14ac:dyDescent="0.3">
      <c r="A40" s="129"/>
      <c r="B40" s="638" t="s">
        <v>33</v>
      </c>
      <c r="C40" s="638"/>
      <c r="D40" s="639"/>
      <c r="E40" s="139">
        <v>0.5</v>
      </c>
      <c r="F40" s="19"/>
      <c r="G40" s="292"/>
      <c r="H40" s="295">
        <f>I10*E10</f>
        <v>0</v>
      </c>
      <c r="I40" s="169" t="str">
        <f>IF($H$40=0,"",$H$40*$E$40)</f>
        <v/>
      </c>
      <c r="J40" s="144"/>
    </row>
    <row r="41" spans="1:10" ht="14.45" hidden="1" customHeight="1" thickBot="1" x14ac:dyDescent="0.3">
      <c r="A41" s="129"/>
      <c r="B41" s="640" t="s">
        <v>35</v>
      </c>
      <c r="C41" s="640"/>
      <c r="D41" s="641"/>
      <c r="E41" s="137">
        <v>4</v>
      </c>
      <c r="F41" s="19"/>
      <c r="G41" s="292"/>
      <c r="H41" s="295">
        <f>$I$11*$E$10</f>
        <v>0</v>
      </c>
      <c r="I41" s="169" t="str">
        <f>IF($H$41=0,"",$H$41*$E$41)</f>
        <v/>
      </c>
      <c r="J41" s="144"/>
    </row>
    <row r="42" spans="1:10" ht="14.45" hidden="1" customHeight="1" thickBot="1" x14ac:dyDescent="0.3">
      <c r="A42" s="129"/>
      <c r="B42" s="167" t="s">
        <v>233</v>
      </c>
      <c r="C42" s="160" t="s">
        <v>234</v>
      </c>
      <c r="D42" s="161">
        <v>0</v>
      </c>
      <c r="E42" s="140" t="str">
        <f>IF(C42="1/2"&amp;CHAR(34)&amp;" Standoffs","$10",IF(C42="3/4"&amp;CHAR(34)&amp;" Standoffs","$12",IF(C42="1"&amp;CHAR(34)&amp;" Standoffs","$15",IF(C42="Select Size","$0",IF(C42="1/2"&amp;CHAR(34)&amp;" Caps (Set of 4)","$12")))))</f>
        <v>$0</v>
      </c>
      <c r="F42" s="19" t="str">
        <f t="shared" ref="F42:F47" si="1">IF(D42&lt;1,"TRUE")</f>
        <v>TRUE</v>
      </c>
      <c r="G42" s="292"/>
      <c r="H42" s="133">
        <f t="shared" ref="H42:H47" si="2">D42*E42</f>
        <v>0</v>
      </c>
      <c r="I42" s="169" t="str">
        <f t="shared" ref="I42:I47" si="3">IF(F42=FALSE,D42*E42,"")</f>
        <v/>
      </c>
      <c r="J42" s="144"/>
    </row>
    <row r="43" spans="1:10" ht="14.45" hidden="1" customHeight="1" thickBot="1" x14ac:dyDescent="0.3">
      <c r="A43" s="129"/>
      <c r="B43" s="167" t="s">
        <v>257</v>
      </c>
      <c r="C43" s="162" t="s">
        <v>234</v>
      </c>
      <c r="D43" s="161">
        <v>0</v>
      </c>
      <c r="E43" s="141" t="str">
        <f>IF(C43="Select Size","$0",IF(C43="6'","$41",IF(C43="8'","$45",IF(C43="10'","$50",IF(C43="12'","$56")))))</f>
        <v>$0</v>
      </c>
      <c r="F43" s="19" t="str">
        <f t="shared" si="1"/>
        <v>TRUE</v>
      </c>
      <c r="G43" s="292"/>
      <c r="H43" s="135">
        <f t="shared" si="2"/>
        <v>0</v>
      </c>
      <c r="I43" s="169" t="str">
        <f t="shared" si="3"/>
        <v/>
      </c>
      <c r="J43" s="144"/>
    </row>
    <row r="44" spans="1:10" ht="14.45" hidden="1" customHeight="1" thickBot="1" x14ac:dyDescent="0.3">
      <c r="A44" s="129" t="s">
        <v>230</v>
      </c>
      <c r="B44" s="166" t="s">
        <v>231</v>
      </c>
      <c r="C44" s="162" t="s">
        <v>234</v>
      </c>
      <c r="D44" s="161">
        <v>0</v>
      </c>
      <c r="E44" s="141" t="str">
        <f>IF(C44="Select Size","$0",IF(C44="6'","$41",IF(C44="8'","$45",IF(C44="10'","$50",IF(C44="12'","$56")))))</f>
        <v>$0</v>
      </c>
      <c r="F44" s="19" t="str">
        <f t="shared" si="1"/>
        <v>TRUE</v>
      </c>
      <c r="G44" s="292"/>
      <c r="H44" s="135">
        <f t="shared" si="2"/>
        <v>0</v>
      </c>
      <c r="I44" s="169" t="str">
        <f t="shared" si="3"/>
        <v/>
      </c>
      <c r="J44" s="144"/>
    </row>
    <row r="45" spans="1:10" ht="14.45" hidden="1" customHeight="1" thickBot="1" x14ac:dyDescent="0.3">
      <c r="B45" s="165" t="s">
        <v>232</v>
      </c>
      <c r="C45" s="162" t="s">
        <v>234</v>
      </c>
      <c r="D45" s="161">
        <v>0</v>
      </c>
      <c r="E45" s="141" t="str">
        <f>IF(C45="42"&amp;CHAR(34)&amp;"","$118",IF(C45="48"&amp;CHAR(34)&amp;"","$118",IF(C45="66"&amp;CHAR(34)&amp;"","$175",IF(C45="Select Size","$0",))))</f>
        <v>$0</v>
      </c>
      <c r="F45" s="19" t="str">
        <f t="shared" si="1"/>
        <v>TRUE</v>
      </c>
      <c r="G45" s="292"/>
      <c r="H45" s="135">
        <f t="shared" si="2"/>
        <v>0</v>
      </c>
      <c r="I45" s="169" t="str">
        <f t="shared" si="3"/>
        <v/>
      </c>
      <c r="J45" s="144"/>
    </row>
    <row r="46" spans="1:10" ht="14.45" hidden="1" customHeight="1" thickBot="1" x14ac:dyDescent="0.3">
      <c r="B46" s="165" t="s">
        <v>245</v>
      </c>
      <c r="C46" s="162" t="s">
        <v>234</v>
      </c>
      <c r="D46" s="161">
        <v>0</v>
      </c>
      <c r="E46" s="141" t="str">
        <f>IF(C46="HS-1","$8",IF(C46="FB-021","$8",IF(C46="40"&amp;CHAR(34)&amp;" Gear Clamp","$8",IF(C46="Select Size","$0",))))</f>
        <v>$0</v>
      </c>
      <c r="F46" s="19" t="str">
        <f t="shared" si="1"/>
        <v>TRUE</v>
      </c>
      <c r="G46" s="292"/>
      <c r="H46" s="135">
        <f t="shared" si="2"/>
        <v>0</v>
      </c>
      <c r="I46" s="169" t="str">
        <f t="shared" si="3"/>
        <v/>
      </c>
      <c r="J46" s="144"/>
    </row>
    <row r="47" spans="1:10" ht="14.45" hidden="1" customHeight="1" x14ac:dyDescent="0.25">
      <c r="B47" s="165" t="s">
        <v>256</v>
      </c>
      <c r="C47" s="163" t="s">
        <v>234</v>
      </c>
      <c r="D47" s="164">
        <v>0</v>
      </c>
      <c r="E47" s="141" t="str">
        <f>IF(C47="HS-1","$8",IF(C47="FB-021","$8",IF(C47="40"&amp;CHAR(34)&amp;" Gear Clamp","$8",IF(C47="Select Size","$0",))))</f>
        <v>$0</v>
      </c>
      <c r="F47" s="19" t="str">
        <f t="shared" si="1"/>
        <v>TRUE</v>
      </c>
      <c r="G47" s="292"/>
      <c r="H47" s="135">
        <f t="shared" si="2"/>
        <v>0</v>
      </c>
      <c r="I47" s="168" t="str">
        <f t="shared" si="3"/>
        <v/>
      </c>
      <c r="J47" s="144"/>
    </row>
    <row r="48" spans="1:10" ht="14.45" customHeight="1" x14ac:dyDescent="0.25">
      <c r="A48" s="180"/>
      <c r="B48" s="181"/>
      <c r="C48" s="182"/>
      <c r="D48" s="183"/>
      <c r="E48" s="142"/>
      <c r="F48" s="142"/>
      <c r="G48" s="636" t="s">
        <v>12</v>
      </c>
      <c r="H48" s="636"/>
      <c r="I48" s="184">
        <f>SUM(I29:I47)</f>
        <v>0</v>
      </c>
      <c r="J48" s="24"/>
    </row>
    <row r="49" spans="1:14" ht="14.45" customHeight="1" x14ac:dyDescent="0.25">
      <c r="A49" s="180"/>
      <c r="B49" s="181"/>
      <c r="C49" s="182"/>
      <c r="D49" s="183"/>
      <c r="E49" s="142"/>
      <c r="F49" s="142"/>
      <c r="G49" s="635" t="s">
        <v>260</v>
      </c>
      <c r="H49" s="635"/>
      <c r="I49" s="184" t="e">
        <f>(I27+I48)/E10</f>
        <v>#VALUE!</v>
      </c>
      <c r="J49" s="24"/>
    </row>
    <row r="50" spans="1:14" ht="14.45" customHeight="1" x14ac:dyDescent="0.25">
      <c r="A50" s="182"/>
      <c r="B50" s="181"/>
      <c r="C50" s="142"/>
      <c r="D50" s="142"/>
      <c r="E50" s="142"/>
      <c r="F50" s="142"/>
      <c r="G50" s="636" t="s">
        <v>249</v>
      </c>
      <c r="H50" s="636"/>
      <c r="I50" s="185" t="e">
        <f>I27+I48</f>
        <v>#VALUE!</v>
      </c>
      <c r="J50" s="24"/>
    </row>
    <row r="51" spans="1:14" ht="14.45" customHeight="1" thickBot="1" x14ac:dyDescent="0.3">
      <c r="A51" s="186"/>
      <c r="B51" s="653" t="s">
        <v>14</v>
      </c>
      <c r="C51" s="653"/>
      <c r="D51" s="653"/>
      <c r="E51" s="187" t="s">
        <v>8</v>
      </c>
      <c r="F51" s="175"/>
      <c r="G51" s="178" t="s">
        <v>9</v>
      </c>
      <c r="H51" s="175"/>
      <c r="I51" s="175"/>
      <c r="J51" s="175"/>
    </row>
    <row r="52" spans="1:14" s="190" customFormat="1" ht="14.45" customHeight="1" x14ac:dyDescent="0.25">
      <c r="A52" s="192"/>
      <c r="B52" s="661" t="str">
        <f>CONCATENATE(TEXT($E$10,0)," at ",TEXT($E$52,"0%")," off")</f>
        <v>0 at 0% off</v>
      </c>
      <c r="C52" s="655" t="s">
        <v>244</v>
      </c>
      <c r="D52" s="657">
        <v>0</v>
      </c>
      <c r="E52" s="658">
        <f>IF($E$10&gt;23,0.25,IF($E$10&gt;=10,0.15,IF($E$10&gt;=3,0.1,0)))</f>
        <v>0</v>
      </c>
      <c r="F52" s="660" t="b">
        <v>0</v>
      </c>
      <c r="G52" s="661"/>
      <c r="H52" s="661"/>
      <c r="I52" s="665" t="e">
        <f>IF(F52=FALSE,E52*-1,D52*-1)*I50</f>
        <v>#VALUE!</v>
      </c>
      <c r="J52" s="667"/>
    </row>
    <row r="53" spans="1:14" s="190" customFormat="1" ht="14.45" customHeight="1" thickBot="1" x14ac:dyDescent="0.3">
      <c r="A53" s="192"/>
      <c r="B53" s="661"/>
      <c r="C53" s="656"/>
      <c r="D53" s="657"/>
      <c r="E53" s="659"/>
      <c r="F53" s="660"/>
      <c r="G53" s="661"/>
      <c r="H53" s="661"/>
      <c r="I53" s="666"/>
      <c r="J53" s="667"/>
    </row>
    <row r="54" spans="1:14" ht="14.45" customHeight="1" x14ac:dyDescent="0.25">
      <c r="B54" s="654" t="s">
        <v>41</v>
      </c>
      <c r="C54" s="654"/>
      <c r="D54" s="654"/>
      <c r="E54" s="145" t="s">
        <v>8</v>
      </c>
      <c r="H54" s="145" t="s">
        <v>19</v>
      </c>
    </row>
    <row r="55" spans="1:14" ht="14.45" customHeight="1" x14ac:dyDescent="0.25">
      <c r="A55" s="155"/>
      <c r="B55" s="638" t="s">
        <v>97</v>
      </c>
      <c r="C55" s="638"/>
      <c r="D55" s="638"/>
      <c r="E55" s="156">
        <v>70</v>
      </c>
      <c r="F55" s="151"/>
      <c r="G55" s="151"/>
      <c r="H55" s="151">
        <f>$E$11</f>
        <v>0</v>
      </c>
      <c r="I55" s="153">
        <f>H55*E55</f>
        <v>0</v>
      </c>
      <c r="J55" s="151"/>
    </row>
    <row r="56" spans="1:14" s="147" customFormat="1" ht="14.45" customHeight="1" x14ac:dyDescent="0.25">
      <c r="A56" s="149"/>
      <c r="B56" s="640" t="s">
        <v>98</v>
      </c>
      <c r="C56" s="640"/>
      <c r="D56" s="640"/>
      <c r="E56" s="146">
        <v>70</v>
      </c>
      <c r="H56" s="147">
        <f>I8</f>
        <v>0</v>
      </c>
      <c r="I56" s="148">
        <f>H56*E56</f>
        <v>0</v>
      </c>
    </row>
    <row r="57" spans="1:14" ht="14.45" customHeight="1" x14ac:dyDescent="0.25">
      <c r="A57" s="149"/>
      <c r="B57" s="638" t="s">
        <v>40</v>
      </c>
      <c r="C57" s="638"/>
      <c r="D57" s="651"/>
      <c r="E57" s="150">
        <v>0.4</v>
      </c>
      <c r="F57" s="151"/>
      <c r="G57" s="152"/>
      <c r="H57" s="151"/>
      <c r="I57" s="153">
        <f>$I$12*(1+$E$57)</f>
        <v>0</v>
      </c>
      <c r="J57" s="147"/>
    </row>
    <row r="58" spans="1:14" ht="14.45" customHeight="1" x14ac:dyDescent="0.25">
      <c r="A58" s="113"/>
      <c r="B58" s="113"/>
      <c r="C58" s="113"/>
      <c r="D58" s="113"/>
      <c r="E58" s="113"/>
      <c r="F58" s="114"/>
      <c r="G58" s="115" t="s">
        <v>250</v>
      </c>
      <c r="H58" s="132" t="str">
        <f>IF(I58="YES", (2.31%),"--")</f>
        <v>--</v>
      </c>
      <c r="I58" s="37" t="s">
        <v>101</v>
      </c>
      <c r="J58" s="100"/>
    </row>
    <row r="59" spans="1:14" ht="14.45" customHeight="1" x14ac:dyDescent="0.25">
      <c r="A59" s="18"/>
      <c r="G59" s="632" t="s">
        <v>261</v>
      </c>
      <c r="H59" s="632"/>
      <c r="I59" s="198" t="str">
        <f>IF(I58="YES", ROUND(I60*H58,2),"0")</f>
        <v>0</v>
      </c>
      <c r="J59" s="197"/>
    </row>
    <row r="60" spans="1:14" ht="14.25" customHeight="1" x14ac:dyDescent="0.25">
      <c r="B60" s="652"/>
      <c r="C60" s="652"/>
      <c r="D60" s="652"/>
      <c r="F60" s="106"/>
      <c r="G60" s="623" t="s">
        <v>251</v>
      </c>
      <c r="H60" s="623"/>
      <c r="I60" s="130" t="e">
        <f>I57+I56+I55+I52+I50</f>
        <v>#VALUE!</v>
      </c>
      <c r="J60" s="131"/>
      <c r="L60" s="102" t="str">
        <f>IF(H58="No", (2.31%),"")</f>
        <v/>
      </c>
      <c r="N60" s="29"/>
    </row>
    <row r="61" spans="1:14" ht="18.75" customHeight="1" x14ac:dyDescent="0.25">
      <c r="E61" s="170"/>
      <c r="F61" s="109"/>
      <c r="G61" s="110"/>
      <c r="H61" s="108" t="s">
        <v>27</v>
      </c>
      <c r="I61" s="107" t="e">
        <f>ROUND(I60*0.05,2)</f>
        <v>#VALUE!</v>
      </c>
      <c r="J61" s="106"/>
    </row>
    <row r="62" spans="1:14" s="147" customFormat="1" ht="14.45" customHeight="1" x14ac:dyDescent="0.25">
      <c r="A62" s="18"/>
      <c r="B62" s="18"/>
      <c r="C62" s="18"/>
      <c r="D62" s="18"/>
      <c r="E62" s="18"/>
      <c r="F62" s="106"/>
      <c r="G62" s="157"/>
      <c r="H62" s="158" t="s">
        <v>99</v>
      </c>
      <c r="I62" s="196" t="e">
        <f>IF(I58="No", ROUND(I60*0.07,2),"0")</f>
        <v>#VALUE!</v>
      </c>
      <c r="J62" s="159"/>
    </row>
    <row r="64" spans="1:14" ht="14.45" customHeight="1" x14ac:dyDescent="0.3">
      <c r="A64" s="111"/>
      <c r="B64" s="111"/>
      <c r="C64" s="111"/>
      <c r="D64" s="111"/>
      <c r="E64" s="111"/>
      <c r="F64" s="111"/>
      <c r="G64" s="624" t="s">
        <v>258</v>
      </c>
      <c r="H64" s="624"/>
      <c r="I64" s="173" t="e">
        <f>I59+I61+I62</f>
        <v>#VALUE!</v>
      </c>
      <c r="J64" s="111"/>
      <c r="K64" s="195"/>
      <c r="L64" s="195"/>
    </row>
    <row r="65" spans="1:12" ht="14.45" customHeight="1" x14ac:dyDescent="0.3">
      <c r="A65" s="171"/>
      <c r="B65" s="171"/>
      <c r="C65" s="171"/>
      <c r="D65" s="171"/>
      <c r="E65" s="171"/>
      <c r="F65" s="171"/>
      <c r="G65" s="625" t="s">
        <v>259</v>
      </c>
      <c r="H65" s="625"/>
      <c r="I65" s="172" t="e">
        <f>I60+I61+I62</f>
        <v>#VALUE!</v>
      </c>
      <c r="J65" s="171"/>
      <c r="K65" s="112"/>
      <c r="L65" s="112"/>
    </row>
    <row r="66" spans="1:12" ht="14.45" hidden="1" customHeight="1" x14ac:dyDescent="0.25">
      <c r="A66" s="193"/>
      <c r="B66" s="193"/>
      <c r="C66" s="193"/>
      <c r="D66" s="193"/>
      <c r="E66" s="193"/>
      <c r="F66" s="193"/>
      <c r="G66" s="193"/>
      <c r="H66" s="193"/>
      <c r="I66" s="193"/>
      <c r="J66" s="193"/>
      <c r="K66" s="193"/>
      <c r="L66" s="193"/>
    </row>
    <row r="67" spans="1:12" ht="14.45" hidden="1" customHeight="1" x14ac:dyDescent="0.25">
      <c r="A67" s="193"/>
      <c r="B67" s="193"/>
      <c r="C67" s="193"/>
      <c r="D67" s="193"/>
      <c r="E67" s="193"/>
      <c r="F67" s="193"/>
      <c r="G67" s="193"/>
      <c r="H67" s="193"/>
      <c r="I67" s="193"/>
      <c r="J67" s="193"/>
      <c r="K67" s="193"/>
      <c r="L67" s="193"/>
    </row>
    <row r="68" spans="1:12" ht="14.45" hidden="1" customHeight="1" x14ac:dyDescent="0.25">
      <c r="A68" s="193"/>
      <c r="B68" t="s">
        <v>91</v>
      </c>
      <c r="C68"/>
      <c r="D68"/>
      <c r="J68" s="193"/>
      <c r="K68" s="193"/>
      <c r="L68" s="193"/>
    </row>
    <row r="69" spans="1:12" ht="14.45" hidden="1" customHeight="1" x14ac:dyDescent="0.25">
      <c r="A69" s="193"/>
      <c r="B69" s="3" t="s">
        <v>254</v>
      </c>
      <c r="C69"/>
      <c r="D69"/>
      <c r="J69" s="193"/>
      <c r="K69" s="193"/>
      <c r="L69" s="193"/>
    </row>
    <row r="70" spans="1:12" ht="14.45" hidden="1" customHeight="1" x14ac:dyDescent="0.25">
      <c r="A70" s="193"/>
      <c r="B70" t="s">
        <v>89</v>
      </c>
      <c r="C70"/>
      <c r="D70"/>
      <c r="J70" s="193"/>
      <c r="K70" s="193"/>
      <c r="L70" s="193"/>
    </row>
    <row r="71" spans="1:12" ht="14.45" hidden="1" customHeight="1" x14ac:dyDescent="0.25">
      <c r="A71" s="193"/>
      <c r="B71" s="193" t="s">
        <v>0</v>
      </c>
      <c r="C71" s="193"/>
      <c r="D71" s="193"/>
      <c r="E71" s="193"/>
      <c r="F71" s="193"/>
      <c r="G71" s="193"/>
      <c r="H71" s="193"/>
      <c r="I71" s="193"/>
      <c r="J71" s="193"/>
      <c r="K71" s="193"/>
      <c r="L71" s="193"/>
    </row>
    <row r="72" spans="1:12" ht="14.45" hidden="1" customHeight="1" x14ac:dyDescent="0.25">
      <c r="A72" s="193"/>
      <c r="B72" t="s">
        <v>1</v>
      </c>
      <c r="C72"/>
      <c r="D72"/>
      <c r="E72"/>
      <c r="F72"/>
      <c r="G72" s="190"/>
      <c r="H72" s="199"/>
      <c r="I72"/>
      <c r="J72" s="193"/>
      <c r="K72" s="193"/>
      <c r="L72" s="193"/>
    </row>
    <row r="73" spans="1:12" ht="14.45" hidden="1" customHeight="1" x14ac:dyDescent="0.25">
      <c r="A73" s="193"/>
      <c r="B73" t="s">
        <v>2</v>
      </c>
      <c r="C73"/>
      <c r="D73"/>
      <c r="E73"/>
      <c r="F73"/>
      <c r="G73" s="633" t="s">
        <v>261</v>
      </c>
      <c r="H73" s="633"/>
      <c r="I73" t="str">
        <f>IF(I58="YES", ROUND(I60*H58,2),"0")</f>
        <v>0</v>
      </c>
      <c r="J73" s="193"/>
      <c r="K73" s="193"/>
      <c r="L73" s="193"/>
    </row>
    <row r="74" spans="1:12" ht="14.45" hidden="1" customHeight="1" x14ac:dyDescent="0.25">
      <c r="A74" s="193"/>
      <c r="B74" t="s">
        <v>3</v>
      </c>
      <c r="C74"/>
      <c r="D74"/>
      <c r="G74" s="634" t="s">
        <v>99</v>
      </c>
      <c r="H74" s="634"/>
      <c r="I74" s="18" t="e">
        <f>IF(I58="No", ROUND(I60*0.07,2),"0")</f>
        <v>#VALUE!</v>
      </c>
      <c r="J74" s="193"/>
      <c r="K74" s="193"/>
      <c r="L74" s="193"/>
    </row>
    <row r="75" spans="1:12" ht="14.45" hidden="1" customHeight="1" x14ac:dyDescent="0.25">
      <c r="A75" s="193"/>
      <c r="B75" t="s">
        <v>4</v>
      </c>
      <c r="C75"/>
      <c r="D75"/>
      <c r="J75" s="193"/>
      <c r="K75" s="193"/>
      <c r="L75" s="193"/>
    </row>
    <row r="76" spans="1:12" ht="14.45" hidden="1" customHeight="1" x14ac:dyDescent="0.25">
      <c r="A76" s="193"/>
      <c r="B76" t="s">
        <v>5</v>
      </c>
      <c r="C76"/>
      <c r="D76"/>
      <c r="J76" s="193"/>
      <c r="K76" s="193"/>
      <c r="L76" s="193"/>
    </row>
    <row r="77" spans="1:12" ht="14.45" hidden="1" customHeight="1" x14ac:dyDescent="0.25">
      <c r="A77" s="193"/>
      <c r="B77" t="s">
        <v>6</v>
      </c>
      <c r="C77"/>
      <c r="D77"/>
      <c r="J77" s="193"/>
      <c r="K77" s="193"/>
      <c r="L77" s="193"/>
    </row>
    <row r="78" spans="1:12" ht="14.45" hidden="1" customHeight="1" x14ac:dyDescent="0.25">
      <c r="A78" s="193"/>
      <c r="B78" t="s">
        <v>7</v>
      </c>
      <c r="C78" s="25" t="s">
        <v>103</v>
      </c>
      <c r="D78" s="33"/>
      <c r="J78" s="193"/>
      <c r="K78" s="193"/>
      <c r="L78" s="193"/>
    </row>
    <row r="79" spans="1:12" ht="14.45" hidden="1" customHeight="1" x14ac:dyDescent="0.25">
      <c r="A79" s="193"/>
      <c r="B79" s="18" t="s">
        <v>90</v>
      </c>
      <c r="J79" s="193"/>
      <c r="K79" s="193"/>
      <c r="L79" s="193"/>
    </row>
    <row r="80" spans="1:12" ht="14.45" hidden="1" customHeight="1" x14ac:dyDescent="0.25">
      <c r="A80" s="193"/>
      <c r="B80" s="32"/>
      <c r="J80" s="193"/>
      <c r="K80" s="193"/>
      <c r="L80" s="193"/>
    </row>
    <row r="81" spans="1:12" ht="14.45" hidden="1" customHeight="1" x14ac:dyDescent="0.25">
      <c r="A81" s="193"/>
      <c r="B81" s="32"/>
      <c r="J81" s="193"/>
      <c r="K81" s="193"/>
      <c r="L81" s="193"/>
    </row>
    <row r="82" spans="1:12" ht="14.45" hidden="1" customHeight="1" x14ac:dyDescent="0.25">
      <c r="A82" s="193"/>
      <c r="B82" s="32"/>
      <c r="J82" s="193"/>
      <c r="K82" s="193"/>
      <c r="L82" s="193"/>
    </row>
    <row r="83" spans="1:12" ht="14.45" hidden="1" customHeight="1" x14ac:dyDescent="0.25">
      <c r="A83" s="193"/>
      <c r="B83" s="32"/>
      <c r="J83" s="193"/>
      <c r="K83" s="193"/>
      <c r="L83" s="193"/>
    </row>
    <row r="84" spans="1:12" ht="14.45" hidden="1" customHeight="1" x14ac:dyDescent="0.25">
      <c r="A84" s="193"/>
      <c r="E84" s="96" t="s">
        <v>91</v>
      </c>
      <c r="H84" s="18" t="s">
        <v>235</v>
      </c>
      <c r="J84" s="193"/>
      <c r="K84" s="193"/>
      <c r="L84" s="193"/>
    </row>
    <row r="85" spans="1:12" ht="14.45" hidden="1" customHeight="1" x14ac:dyDescent="0.25">
      <c r="A85" s="193"/>
      <c r="E85" s="96" t="s">
        <v>234</v>
      </c>
      <c r="J85" s="193"/>
      <c r="K85" s="193"/>
      <c r="L85" s="193"/>
    </row>
    <row r="86" spans="1:12" ht="14.45" hidden="1" customHeight="1" x14ac:dyDescent="0.25">
      <c r="A86" s="193"/>
      <c r="E86" s="96" t="s">
        <v>241</v>
      </c>
      <c r="H86" s="98" t="s">
        <v>91</v>
      </c>
      <c r="J86" s="193"/>
      <c r="K86" s="193"/>
      <c r="L86" s="193"/>
    </row>
    <row r="87" spans="1:12" ht="14.45" hidden="1" customHeight="1" x14ac:dyDescent="0.25">
      <c r="A87" s="193"/>
      <c r="E87" s="96" t="s">
        <v>242</v>
      </c>
      <c r="H87" s="96" t="s">
        <v>234</v>
      </c>
      <c r="J87" s="193"/>
      <c r="K87" s="193"/>
      <c r="L87" s="193"/>
    </row>
    <row r="88" spans="1:12" ht="14.45" hidden="1" customHeight="1" x14ac:dyDescent="0.25">
      <c r="A88" s="193"/>
      <c r="E88" s="96" t="s">
        <v>243</v>
      </c>
      <c r="H88" s="97" t="s">
        <v>237</v>
      </c>
      <c r="J88" s="193"/>
      <c r="K88" s="193"/>
      <c r="L88" s="193"/>
    </row>
    <row r="89" spans="1:12" ht="14.45" hidden="1" customHeight="1" x14ac:dyDescent="0.25">
      <c r="A89" s="193"/>
      <c r="H89" s="97" t="s">
        <v>238</v>
      </c>
      <c r="J89" s="193"/>
      <c r="K89" s="193"/>
      <c r="L89" s="193"/>
    </row>
    <row r="90" spans="1:12" ht="14.45" hidden="1" customHeight="1" x14ac:dyDescent="0.25">
      <c r="A90" s="193"/>
      <c r="H90" s="97" t="s">
        <v>239</v>
      </c>
      <c r="J90" s="193"/>
      <c r="K90" s="193"/>
      <c r="L90" s="193"/>
    </row>
    <row r="91" spans="1:12" ht="14.45" hidden="1" customHeight="1" x14ac:dyDescent="0.25">
      <c r="A91" s="193"/>
      <c r="H91" s="99" t="s">
        <v>240</v>
      </c>
      <c r="J91" s="193"/>
      <c r="K91" s="193"/>
      <c r="L91" s="193"/>
    </row>
    <row r="92" spans="1:12" ht="14.45" hidden="1" customHeight="1" x14ac:dyDescent="0.25">
      <c r="A92" s="193"/>
      <c r="E92" s="27" t="s">
        <v>91</v>
      </c>
      <c r="J92" s="193"/>
      <c r="K92" s="193"/>
      <c r="L92" s="193"/>
    </row>
    <row r="93" spans="1:12" ht="14.45" hidden="1" customHeight="1" x14ac:dyDescent="0.25">
      <c r="A93" s="193"/>
      <c r="E93" s="27" t="s">
        <v>234</v>
      </c>
      <c r="H93" s="18" t="s">
        <v>236</v>
      </c>
      <c r="J93" s="193"/>
      <c r="K93" s="193"/>
      <c r="L93" s="193"/>
    </row>
    <row r="94" spans="1:12" ht="14.45" hidden="1" customHeight="1" x14ac:dyDescent="0.25">
      <c r="A94" s="193"/>
      <c r="E94" s="27" t="s">
        <v>93</v>
      </c>
      <c r="J94" s="193"/>
      <c r="K94" s="193"/>
      <c r="L94" s="193"/>
    </row>
    <row r="95" spans="1:12" ht="14.45" hidden="1" customHeight="1" x14ac:dyDescent="0.25">
      <c r="A95" s="193"/>
      <c r="E95" s="27" t="s">
        <v>94</v>
      </c>
      <c r="F95" s="28"/>
      <c r="H95" s="98" t="s">
        <v>91</v>
      </c>
      <c r="J95" s="193"/>
      <c r="K95" s="193"/>
      <c r="L95" s="193"/>
    </row>
    <row r="96" spans="1:12" ht="14.45" hidden="1" customHeight="1" x14ac:dyDescent="0.25">
      <c r="A96" s="193"/>
      <c r="E96" s="27" t="s">
        <v>95</v>
      </c>
      <c r="H96" s="96" t="s">
        <v>234</v>
      </c>
      <c r="J96" s="193"/>
      <c r="K96" s="193"/>
      <c r="L96" s="193"/>
    </row>
    <row r="97" spans="1:12" s="194" customFormat="1" ht="17.25" hidden="1" customHeight="1" x14ac:dyDescent="0.3">
      <c r="A97" s="193"/>
      <c r="B97" s="18"/>
      <c r="C97" s="18"/>
      <c r="D97" s="18"/>
      <c r="E97" s="27" t="s">
        <v>104</v>
      </c>
      <c r="F97" s="18"/>
      <c r="G97" s="18"/>
      <c r="H97" s="97" t="s">
        <v>237</v>
      </c>
      <c r="I97" s="18"/>
      <c r="J97" s="193"/>
      <c r="K97" s="193"/>
      <c r="L97" s="193"/>
    </row>
    <row r="98" spans="1:12" ht="14.45" hidden="1" customHeight="1" x14ac:dyDescent="0.25">
      <c r="H98" s="97" t="s">
        <v>238</v>
      </c>
      <c r="K98" s="101"/>
    </row>
    <row r="99" spans="1:12" ht="14.45" hidden="1" customHeight="1" x14ac:dyDescent="0.25">
      <c r="B99"/>
      <c r="H99" s="97" t="s">
        <v>239</v>
      </c>
    </row>
    <row r="100" spans="1:12" ht="14.45" hidden="1" customHeight="1" x14ac:dyDescent="0.25">
      <c r="B100"/>
      <c r="H100" s="97"/>
    </row>
    <row r="101" spans="1:12" ht="14.45" hidden="1" customHeight="1" x14ac:dyDescent="0.25">
      <c r="B101"/>
      <c r="H101" s="99" t="s">
        <v>240</v>
      </c>
    </row>
    <row r="102" spans="1:12" ht="14.45" hidden="1" customHeight="1" x14ac:dyDescent="0.25">
      <c r="B102"/>
    </row>
    <row r="103" spans="1:12" ht="14.45" hidden="1" customHeight="1" x14ac:dyDescent="0.25">
      <c r="B103"/>
    </row>
    <row r="104" spans="1:12" ht="14.25" hidden="1" customHeight="1" x14ac:dyDescent="0.25">
      <c r="B104"/>
    </row>
    <row r="105" spans="1:12" ht="14.45" hidden="1" customHeight="1" x14ac:dyDescent="0.25">
      <c r="B105"/>
    </row>
    <row r="106" spans="1:12" ht="14.45" hidden="1" customHeight="1" x14ac:dyDescent="0.25">
      <c r="B106" s="32"/>
    </row>
    <row r="107" spans="1:12" ht="14.45" hidden="1" customHeight="1" x14ac:dyDescent="0.25">
      <c r="B107" s="188" t="s">
        <v>14</v>
      </c>
      <c r="C107"/>
      <c r="D107"/>
    </row>
    <row r="108" spans="1:12" ht="0" hidden="1" customHeight="1" x14ac:dyDescent="0.25">
      <c r="B108" s="190" t="s">
        <v>253</v>
      </c>
      <c r="C108" s="189" t="e">
        <f>(E52*-1)*I50</f>
        <v>#VALUE!</v>
      </c>
      <c r="D108" s="190"/>
      <c r="E108" s="190"/>
      <c r="F108" s="190"/>
      <c r="G108" s="190"/>
      <c r="H108" s="190"/>
      <c r="I108" s="190"/>
    </row>
    <row r="109" spans="1:12" ht="0" hidden="1" customHeight="1" x14ac:dyDescent="0.25">
      <c r="B109" t="s">
        <v>252</v>
      </c>
      <c r="C109" s="191" t="e">
        <f>(D52*-1)*I50</f>
        <v>#VALUE!</v>
      </c>
      <c r="D109" s="190"/>
      <c r="E109" s="190" t="s">
        <v>102</v>
      </c>
      <c r="F109" s="190"/>
      <c r="G109" s="190"/>
      <c r="H109" s="190" t="s">
        <v>91</v>
      </c>
      <c r="I109" s="190"/>
    </row>
    <row r="110" spans="1:12" ht="0" hidden="1" customHeight="1" x14ac:dyDescent="0.25">
      <c r="B110"/>
      <c r="C110" s="21" t="e">
        <f>IF(F52=FALSE,C108,C109)</f>
        <v>#VALUE!</v>
      </c>
      <c r="D110"/>
      <c r="H110" s="18" t="s">
        <v>234</v>
      </c>
    </row>
    <row r="111" spans="1:12" ht="0" hidden="1" customHeight="1" x14ac:dyDescent="0.25">
      <c r="B111" s="154"/>
      <c r="C111"/>
      <c r="D111"/>
      <c r="E111" s="18" t="s">
        <v>100</v>
      </c>
      <c r="H111" s="18" t="s">
        <v>246</v>
      </c>
    </row>
    <row r="112" spans="1:12" ht="0" hidden="1" customHeight="1" x14ac:dyDescent="0.25">
      <c r="B112"/>
      <c r="C112" s="154"/>
      <c r="D112" s="154"/>
      <c r="E112" s="147" t="s">
        <v>101</v>
      </c>
      <c r="F112" s="147"/>
      <c r="G112" s="147"/>
      <c r="H112" s="147" t="s">
        <v>247</v>
      </c>
      <c r="I112" s="147"/>
    </row>
    <row r="113" spans="8:8" ht="0" hidden="1" customHeight="1" x14ac:dyDescent="0.25">
      <c r="H113" s="18" t="s">
        <v>248</v>
      </c>
    </row>
  </sheetData>
  <sheetProtection sheet="1" objects="1" scenarios="1" selectLockedCells="1"/>
  <mergeCells count="69">
    <mergeCell ref="I52:I53"/>
    <mergeCell ref="J52:J53"/>
    <mergeCell ref="B52:B53"/>
    <mergeCell ref="G48:H48"/>
    <mergeCell ref="C1:J1"/>
    <mergeCell ref="A27:H27"/>
    <mergeCell ref="B19:D19"/>
    <mergeCell ref="A2:B2"/>
    <mergeCell ref="H3:I3"/>
    <mergeCell ref="B6:I6"/>
    <mergeCell ref="B8:D8"/>
    <mergeCell ref="B9:D9"/>
    <mergeCell ref="G8:H8"/>
    <mergeCell ref="G9:H9"/>
    <mergeCell ref="B10:D10"/>
    <mergeCell ref="B11:D11"/>
    <mergeCell ref="B33:D33"/>
    <mergeCell ref="B34:D34"/>
    <mergeCell ref="G10:H10"/>
    <mergeCell ref="G11:H11"/>
    <mergeCell ref="G13:H13"/>
    <mergeCell ref="G14:H14"/>
    <mergeCell ref="B13:E13"/>
    <mergeCell ref="B14:E14"/>
    <mergeCell ref="B29:D29"/>
    <mergeCell ref="B20:D20"/>
    <mergeCell ref="B30:D30"/>
    <mergeCell ref="B31:D31"/>
    <mergeCell ref="B32:D32"/>
    <mergeCell ref="B12:D12"/>
    <mergeCell ref="B16:D16"/>
    <mergeCell ref="B18:D18"/>
    <mergeCell ref="G12:H12"/>
    <mergeCell ref="B15:D15"/>
    <mergeCell ref="B17:D17"/>
    <mergeCell ref="B57:D57"/>
    <mergeCell ref="B60:D60"/>
    <mergeCell ref="G60:H60"/>
    <mergeCell ref="B51:D51"/>
    <mergeCell ref="B54:D54"/>
    <mergeCell ref="C52:C53"/>
    <mergeCell ref="D52:D53"/>
    <mergeCell ref="E52:E53"/>
    <mergeCell ref="F52:F53"/>
    <mergeCell ref="G52:G53"/>
    <mergeCell ref="H52:H53"/>
    <mergeCell ref="B55:D55"/>
    <mergeCell ref="B56:D56"/>
    <mergeCell ref="G49:H49"/>
    <mergeCell ref="G50:H50"/>
    <mergeCell ref="B21:D21"/>
    <mergeCell ref="B22:D22"/>
    <mergeCell ref="B23:D23"/>
    <mergeCell ref="B24:D24"/>
    <mergeCell ref="B25:D25"/>
    <mergeCell ref="B40:D40"/>
    <mergeCell ref="B41:D41"/>
    <mergeCell ref="B36:D36"/>
    <mergeCell ref="B37:D37"/>
    <mergeCell ref="B38:D38"/>
    <mergeCell ref="B39:D39"/>
    <mergeCell ref="B35:D35"/>
    <mergeCell ref="B26:D26"/>
    <mergeCell ref="B28:D28"/>
    <mergeCell ref="G65:H65"/>
    <mergeCell ref="G59:H59"/>
    <mergeCell ref="G73:H73"/>
    <mergeCell ref="G74:H74"/>
    <mergeCell ref="G64:H64"/>
  </mergeCells>
  <conditionalFormatting sqref="H43:H44 I39:I46">
    <cfRule type="containsText" dxfId="9" priority="20" operator="containsText" text="Select">
      <formula>NOT(ISERROR(SEARCH("Select",H39)))</formula>
    </cfRule>
    <cfRule type="containsText" dxfId="8" priority="22" operator="containsText" text="ENTER">
      <formula>NOT(ISERROR(SEARCH("ENTER",H39)))</formula>
    </cfRule>
  </conditionalFormatting>
  <conditionalFormatting sqref="I55:I58">
    <cfRule type="containsText" dxfId="7" priority="21" operator="containsText" text="ENTER">
      <formula>NOT(ISERROR(SEARCH("ENTER",I55)))</formula>
    </cfRule>
  </conditionalFormatting>
  <conditionalFormatting sqref="H43:H44 I40:I46">
    <cfRule type="containsText" dxfId="6" priority="19" operator="containsText" text="Grommets">
      <formula>NOT(ISERROR(SEARCH("Grommets",H40)))</formula>
    </cfRule>
  </conditionalFormatting>
  <conditionalFormatting sqref="I43">
    <cfRule type="containsText" dxfId="5" priority="17" operator="containsText" text="Select">
      <formula>NOT(ISERROR(SEARCH("Select",I43)))</formula>
    </cfRule>
    <cfRule type="containsText" dxfId="4" priority="18" operator="containsText" text="ENTER">
      <formula>NOT(ISERROR(SEARCH("ENTER",I43)))</formula>
    </cfRule>
  </conditionalFormatting>
  <conditionalFormatting sqref="I43">
    <cfRule type="containsText" dxfId="3" priority="16" operator="containsText" text="Grommets">
      <formula>NOT(ISERROR(SEARCH("Grommets",I43)))</formula>
    </cfRule>
  </conditionalFormatting>
  <conditionalFormatting sqref="I47">
    <cfRule type="containsText" dxfId="2" priority="2" operator="containsText" text="Select">
      <formula>NOT(ISERROR(SEARCH("Select",I47)))</formula>
    </cfRule>
    <cfRule type="containsText" dxfId="1" priority="3" operator="containsText" text="ENTER">
      <formula>NOT(ISERROR(SEARCH("ENTER",I47)))</formula>
    </cfRule>
  </conditionalFormatting>
  <conditionalFormatting sqref="I47">
    <cfRule type="containsText" dxfId="0" priority="1" operator="containsText" text="Grommets">
      <formula>NOT(ISERROR(SEARCH("Grommets",I47)))</formula>
    </cfRule>
  </conditionalFormatting>
  <dataValidations xWindow="446" yWindow="696" count="12">
    <dataValidation type="whole" allowBlank="1" showInputMessage="1" showErrorMessage="1" sqref="E8 E10" xr:uid="{28F5F5C4-7F28-4973-8B89-9DDE0A16E9E0}">
      <formula1>0</formula1>
      <formula2>60</formula2>
    </dataValidation>
    <dataValidation type="whole" allowBlank="1" showInputMessage="1" showErrorMessage="1" sqref="E9" xr:uid="{A579E540-61D5-49CD-98B9-79D15B1669BA}">
      <formula1>0</formula1>
      <formula2>120</formula2>
    </dataValidation>
    <dataValidation allowBlank="1" showInputMessage="1" showErrorMessage="1" promptTitle="Input QTY" prompt="Input QTY" sqref="D42:D47" xr:uid="{D2C5757B-E287-477A-B5C8-07C4DF4D953D}"/>
    <dataValidation type="list" allowBlank="1" showInputMessage="1" showErrorMessage="1" errorTitle="Stop" error="Select Size" promptTitle="Select Size" sqref="G89" xr:uid="{CC44FF1E-3C55-46D2-9EE0-83EB6B8DC84B}">
      <formula1>$E$93:$E$97</formula1>
    </dataValidation>
    <dataValidation type="list" allowBlank="1" showInputMessage="1" showErrorMessage="1" errorTitle="Stop!" error="Must Select Size" promptTitle="Standoff Size" prompt="Select Size" sqref="E92:E97" xr:uid="{39A9DA5E-DCF6-4E4B-A633-82CDB08B42F0}">
      <formula1>$E$92:$E$97</formula1>
    </dataValidation>
    <dataValidation type="list" allowBlank="1" showInputMessage="1" showErrorMessage="1" errorTitle="Check for Self Assess PST" error="Check for Self Assess PST" promptTitle="Check for Self Assess PST" sqref="I58" xr:uid="{C4F2374D-1DDB-4187-890F-7F404429CBA1}">
      <formula1>$E$110:$E$112</formula1>
    </dataValidation>
    <dataValidation type="list" allowBlank="1" showInputMessage="1" showErrorMessage="1" sqref="C43" xr:uid="{A425E49A-5463-45E6-B6A6-E37BEEC430FD}">
      <formula1>$H$87:$H$91</formula1>
    </dataValidation>
    <dataValidation type="list" allowBlank="1" showInputMessage="1" showErrorMessage="1" sqref="C45" xr:uid="{E61106C5-B53B-4542-83F9-70014521398A}">
      <formula1>$E$85:$E$88</formula1>
    </dataValidation>
    <dataValidation type="list" allowBlank="1" showInputMessage="1" showErrorMessage="1" sqref="C42" xr:uid="{AE9B857E-42AA-41C9-8C33-0C44533159AD}">
      <formula1>$E$93:$E$97</formula1>
    </dataValidation>
    <dataValidation type="list" allowBlank="1" showInputMessage="1" showErrorMessage="1" sqref="C44" xr:uid="{C47E8823-F525-4F77-9A7D-BFE9E230001D}">
      <formula1>$H$96:$H$101</formula1>
    </dataValidation>
    <dataValidation type="list" allowBlank="1" showInputMessage="1" showErrorMessage="1" sqref="C46:C47" xr:uid="{03C42EAE-E95C-4ABA-96DE-94F80C4CB725}">
      <formula1>$H$110:$H$113</formula1>
    </dataValidation>
    <dataValidation type="list" allowBlank="1" showInputMessage="1" showErrorMessage="1" sqref="B16:D16" xr:uid="{5D6DE5F9-7A38-4A08-BEEE-CC2A0872BAC0}">
      <formula1>$B$69:$B$79</formula1>
    </dataValidation>
  </dataValidations>
  <printOptions horizontalCentered="1" verticalCentered="1"/>
  <pageMargins left="0.23622047244094491" right="0.23622047244094491" top="0.35433070866141736" bottom="0.35433070866141736" header="0.31496062992125984" footer="0.31496062992125984"/>
  <pageSetup scale="5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7850" r:id="rId4" name="Check Box 26">
              <controlPr defaultSize="0" autoFill="0" autoLine="0" autoPict="0">
                <anchor moveWithCells="1">
                  <from>
                    <xdr:col>0</xdr:col>
                    <xdr:colOff>152400</xdr:colOff>
                    <xdr:row>30</xdr:row>
                    <xdr:rowOff>200025</xdr:rowOff>
                  </from>
                  <to>
                    <xdr:col>1</xdr:col>
                    <xdr:colOff>0</xdr:colOff>
                    <xdr:row>48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51" r:id="rId5" name="Check Box 27">
              <controlPr defaultSize="0" autoFill="0" autoLine="0" autoPict="0">
                <anchor moveWithCells="1">
                  <from>
                    <xdr:col>0</xdr:col>
                    <xdr:colOff>152400</xdr:colOff>
                    <xdr:row>31</xdr:row>
                    <xdr:rowOff>219075</xdr:rowOff>
                  </from>
                  <to>
                    <xdr:col>0</xdr:col>
                    <xdr:colOff>314325</xdr:colOff>
                    <xdr:row>48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52" r:id="rId6" name="Check Box 28">
              <controlPr defaultSize="0" autoFill="0" autoLine="0" autoPict="0">
                <anchor moveWithCells="1">
                  <from>
                    <xdr:col>0</xdr:col>
                    <xdr:colOff>152400</xdr:colOff>
                    <xdr:row>33</xdr:row>
                    <xdr:rowOff>200025</xdr:rowOff>
                  </from>
                  <to>
                    <xdr:col>0</xdr:col>
                    <xdr:colOff>352425</xdr:colOff>
                    <xdr:row>48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53" r:id="rId7" name="Check Box 29">
              <controlPr defaultSize="0" autoFill="0" autoLine="0" autoPict="0">
                <anchor moveWithCells="1">
                  <from>
                    <xdr:col>0</xdr:col>
                    <xdr:colOff>152400</xdr:colOff>
                    <xdr:row>32</xdr:row>
                    <xdr:rowOff>209550</xdr:rowOff>
                  </from>
                  <to>
                    <xdr:col>0</xdr:col>
                    <xdr:colOff>342900</xdr:colOff>
                    <xdr:row>48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54" r:id="rId8" name="Check Box 30">
              <controlPr defaultSize="0" autoFill="0" autoLine="0" autoPict="0">
                <anchor moveWithCells="1">
                  <from>
                    <xdr:col>0</xdr:col>
                    <xdr:colOff>152400</xdr:colOff>
                    <xdr:row>34</xdr:row>
                    <xdr:rowOff>209550</xdr:rowOff>
                  </from>
                  <to>
                    <xdr:col>0</xdr:col>
                    <xdr:colOff>342900</xdr:colOff>
                    <xdr:row>48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55" r:id="rId9" name="Check Box 31">
              <controlPr locked="0" defaultSize="0" autoFill="0" autoLine="0" autoPict="0">
                <anchor moveWithCells="1">
                  <from>
                    <xdr:col>0</xdr:col>
                    <xdr:colOff>152400</xdr:colOff>
                    <xdr:row>35</xdr:row>
                    <xdr:rowOff>209550</xdr:rowOff>
                  </from>
                  <to>
                    <xdr:col>0</xdr:col>
                    <xdr:colOff>333375</xdr:colOff>
                    <xdr:row>48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56" r:id="rId10" name="Check Box 32">
              <controlPr locked="0" defaultSize="0" autoFill="0" autoLine="0" autoPict="0">
                <anchor moveWithCells="1">
                  <from>
                    <xdr:col>0</xdr:col>
                    <xdr:colOff>152400</xdr:colOff>
                    <xdr:row>29</xdr:row>
                    <xdr:rowOff>0</xdr:rowOff>
                  </from>
                  <to>
                    <xdr:col>0</xdr:col>
                    <xdr:colOff>333375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57" r:id="rId11" name="Check Box 33">
              <controlPr locked="0" defaultSize="0" autoFill="0" autoLine="0" autoPict="0">
                <anchor moveWithCells="1">
                  <from>
                    <xdr:col>0</xdr:col>
                    <xdr:colOff>152400</xdr:colOff>
                    <xdr:row>27</xdr:row>
                    <xdr:rowOff>209550</xdr:rowOff>
                  </from>
                  <to>
                    <xdr:col>0</xdr:col>
                    <xdr:colOff>333375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58" r:id="rId12" name="Check Box 34">
              <controlPr defaultSize="0" autoFill="0" autoLine="0" autoPict="0" altText="">
                <anchor moveWithCells="1">
                  <from>
                    <xdr:col>0</xdr:col>
                    <xdr:colOff>152400</xdr:colOff>
                    <xdr:row>29</xdr:row>
                    <xdr:rowOff>180975</xdr:rowOff>
                  </from>
                  <to>
                    <xdr:col>0</xdr:col>
                    <xdr:colOff>333375</xdr:colOff>
                    <xdr:row>48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60" r:id="rId13" name="Check Box 36">
              <controlPr defaultSize="0" autoFill="0" autoLine="0" autoPict="0">
                <anchor moveWithCells="1">
                  <from>
                    <xdr:col>0</xdr:col>
                    <xdr:colOff>152400</xdr:colOff>
                    <xdr:row>36</xdr:row>
                    <xdr:rowOff>209550</xdr:rowOff>
                  </from>
                  <to>
                    <xdr:col>0</xdr:col>
                    <xdr:colOff>333375</xdr:colOff>
                    <xdr:row>48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66" r:id="rId14" name="Check Box 42">
              <controlPr defaultSize="0" autoFill="0" autoLine="0" autoPict="0">
                <anchor moveWithCells="1">
                  <from>
                    <xdr:col>2</xdr:col>
                    <xdr:colOff>1104900</xdr:colOff>
                    <xdr:row>51</xdr:row>
                    <xdr:rowOff>38100</xdr:rowOff>
                  </from>
                  <to>
                    <xdr:col>3</xdr:col>
                    <xdr:colOff>57150</xdr:colOff>
                    <xdr:row>52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25" r:id="rId15" name="Option Button 1">
              <controlPr defaultSize="0" autoFill="0" autoLine="0" autoPict="0" altText="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171450</xdr:colOff>
                    <xdr:row>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26" r:id="rId16" name="Option Button 2">
              <controlPr defaultSize="0" autoFill="0" autoLine="0" autoPict="0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171450</xdr:colOff>
                    <xdr:row>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27" r:id="rId17" name="Option Button 3">
              <controlPr defaultSize="0" autoFill="0" autoLine="0" autoPict="0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180975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28" r:id="rId18" name="Option Button 4">
              <controlPr defaultSize="0" autoFill="0" autoLine="0" autoPict="0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171450</xdr:colOff>
                    <xdr:row>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29" r:id="rId19" name="Option Button 5">
              <controlPr defaultSize="0" autoFill="0" autoLine="0" autoPict="0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161925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30" r:id="rId20" name="Option Button 6">
              <controlPr defaultSize="0" autoFill="0" autoLine="0" autoPict="0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171450</xdr:colOff>
                    <xdr:row>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31" r:id="rId21" name="Option Button 7">
              <controlPr defaultSize="0" autoFill="0" autoLine="0" autoPict="0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180975</xdr:colOff>
                    <xdr:row>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32" r:id="rId22" name="Option Button 8">
              <controlPr defaultSize="0" autoFill="0" autoLine="0" autoPict="0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190500</xdr:colOff>
                    <xdr:row>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33" r:id="rId23" name="Option Button 9">
              <controlPr defaultSize="0" autoFill="0" autoLine="0" autoPict="0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190500</xdr:colOff>
                    <xdr:row>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34" r:id="rId24" name="Option Button 10">
              <controlPr defaultSize="0" autoFill="0" autoLine="0" autoPict="0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171450</xdr:colOff>
                    <xdr:row>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35" r:id="rId25" name="Check Box 11">
              <controlPr defaultSize="0" autoFill="0" autoLine="0" autoPict="0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219075</xdr:colOff>
                    <xdr:row>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36" r:id="rId26" name="Check Box 12">
              <controlPr defaultSize="0" autoFill="0" autoLine="0" autoPict="0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161925</xdr:colOff>
                    <xdr:row>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37" r:id="rId27" name="Check Box 13">
              <controlPr defaultSize="0" autoFill="0" autoLine="0" autoPict="0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200025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38" r:id="rId28" name="Check Box 14">
              <controlPr defaultSize="0" autoFill="0" autoLine="0" autoPict="0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190500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39" r:id="rId29" name="Check Box 15">
              <controlPr defaultSize="0" autoFill="0" autoLine="0" autoPict="0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190500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  <tableParts count="7">
    <tablePart r:id="rId30"/>
    <tablePart r:id="rId31"/>
    <tablePart r:id="rId32"/>
    <tablePart r:id="rId33"/>
    <tablePart r:id="rId34"/>
    <tablePart r:id="rId35"/>
    <tablePart r:id="rId36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01AE65-F0E3-4DB2-ABD3-43A2065EF49C}">
  <sheetPr codeName="Sheet27"/>
  <dimension ref="A1:V81"/>
  <sheetViews>
    <sheetView topLeftCell="A10" zoomScaleNormal="100" workbookViewId="0">
      <selection activeCell="B48" sqref="B48"/>
    </sheetView>
  </sheetViews>
  <sheetFormatPr defaultColWidth="0" defaultRowHeight="15" zeroHeight="1" x14ac:dyDescent="0.25"/>
  <cols>
    <col min="1" max="1" width="2.42578125" style="18" customWidth="1"/>
    <col min="2" max="2" width="22.140625" customWidth="1"/>
    <col min="3" max="3" width="16.85546875" bestFit="1" customWidth="1"/>
    <col min="4" max="4" width="25.5703125" customWidth="1"/>
    <col min="5" max="5" width="15.7109375" customWidth="1"/>
    <col min="6" max="6" width="14.140625" customWidth="1"/>
    <col min="7" max="7" width="21.85546875" customWidth="1"/>
    <col min="8" max="8" width="4.28515625" customWidth="1"/>
    <col min="9" max="16" width="9.140625" hidden="1" customWidth="1"/>
    <col min="17" max="17" width="10.42578125" hidden="1" customWidth="1"/>
    <col min="18" max="18" width="39.85546875" hidden="1" customWidth="1"/>
    <col min="19" max="19" width="20.140625" hidden="1" customWidth="1"/>
    <col min="20" max="20" width="14.140625" hidden="1" customWidth="1"/>
    <col min="21" max="21" width="11.42578125" hidden="1" customWidth="1"/>
    <col min="22" max="22" width="6.85546875" hidden="1" customWidth="1"/>
    <col min="23" max="16384" width="9.140625" hidden="1"/>
  </cols>
  <sheetData>
    <row r="1" spans="1:15" x14ac:dyDescent="0.25">
      <c r="B1" s="18"/>
      <c r="C1" s="18"/>
      <c r="D1" s="18"/>
      <c r="E1" s="18"/>
      <c r="F1" s="18"/>
      <c r="G1" s="18"/>
      <c r="H1" s="18"/>
    </row>
    <row r="2" spans="1:15" x14ac:dyDescent="0.25">
      <c r="B2" s="18"/>
      <c r="C2" s="18"/>
      <c r="D2" s="18"/>
      <c r="E2" s="18"/>
      <c r="F2" s="18"/>
      <c r="G2" s="18"/>
      <c r="H2" s="18"/>
    </row>
    <row r="3" spans="1:15" ht="26.25" x14ac:dyDescent="0.4">
      <c r="B3" s="18"/>
      <c r="C3" s="673" t="s">
        <v>438</v>
      </c>
      <c r="D3" s="673"/>
      <c r="E3" s="673"/>
      <c r="F3" s="673"/>
      <c r="G3" s="18"/>
      <c r="H3" s="18"/>
    </row>
    <row r="4" spans="1:15" ht="15.75" thickBot="1" x14ac:dyDescent="0.3">
      <c r="A4" s="606"/>
      <c r="B4" s="606"/>
      <c r="C4" s="26"/>
      <c r="D4" s="26"/>
      <c r="E4" s="18"/>
      <c r="F4" s="18"/>
      <c r="G4" s="26"/>
      <c r="H4" s="18"/>
    </row>
    <row r="5" spans="1:15" ht="15.75" thickBot="1" x14ac:dyDescent="0.3">
      <c r="B5" s="119" t="s">
        <v>23</v>
      </c>
      <c r="C5" s="18"/>
      <c r="D5" s="18"/>
      <c r="F5" s="120" t="s">
        <v>84</v>
      </c>
      <c r="G5" s="484">
        <f>'QUOTE START'!C5</f>
        <v>0</v>
      </c>
      <c r="H5" s="18"/>
    </row>
    <row r="6" spans="1:15" x14ac:dyDescent="0.25">
      <c r="B6" s="18"/>
      <c r="C6" s="18"/>
      <c r="D6" s="18"/>
      <c r="E6" s="18"/>
      <c r="F6" s="18"/>
      <c r="G6" s="121"/>
      <c r="H6" s="18"/>
    </row>
    <row r="7" spans="1:15" ht="15.75" thickBot="1" x14ac:dyDescent="0.3">
      <c r="B7" s="119" t="s">
        <v>39</v>
      </c>
      <c r="C7" s="119"/>
      <c r="D7" s="119"/>
      <c r="E7" s="18"/>
      <c r="F7" s="18"/>
      <c r="G7" s="18"/>
      <c r="H7" s="18"/>
    </row>
    <row r="8" spans="1:15" ht="15.75" thickBot="1" x14ac:dyDescent="0.3">
      <c r="B8" s="680"/>
      <c r="C8" s="681"/>
      <c r="D8" s="681"/>
      <c r="E8" s="681"/>
      <c r="F8" s="681"/>
      <c r="G8" s="682"/>
      <c r="H8" s="18"/>
      <c r="N8" s="615"/>
      <c r="O8" s="615"/>
    </row>
    <row r="9" spans="1:15" ht="15.75" thickBot="1" x14ac:dyDescent="0.3">
      <c r="B9" s="466"/>
      <c r="C9" s="466"/>
      <c r="D9" s="466"/>
      <c r="E9" s="466"/>
      <c r="F9" s="466"/>
      <c r="G9" s="466"/>
      <c r="H9" s="18"/>
    </row>
    <row r="10" spans="1:15" ht="15.75" thickBot="1" x14ac:dyDescent="0.3">
      <c r="B10" s="30" t="s">
        <v>166</v>
      </c>
      <c r="C10" s="8"/>
      <c r="D10" s="18"/>
      <c r="E10" s="645" t="s">
        <v>37</v>
      </c>
      <c r="F10" s="646"/>
      <c r="G10" s="8"/>
      <c r="H10" s="466"/>
      <c r="I10" s="424"/>
    </row>
    <row r="11" spans="1:15" ht="15.75" thickBot="1" x14ac:dyDescent="0.3">
      <c r="B11" s="30"/>
      <c r="C11" s="468"/>
      <c r="D11" s="18"/>
      <c r="E11" s="645" t="s">
        <v>428</v>
      </c>
      <c r="F11" s="646"/>
      <c r="G11" s="8"/>
      <c r="H11" s="466"/>
      <c r="I11" s="424"/>
    </row>
    <row r="12" spans="1:15" ht="15.75" thickBot="1" x14ac:dyDescent="0.3">
      <c r="B12" s="424"/>
      <c r="C12" s="466"/>
      <c r="D12" s="466"/>
      <c r="E12" s="466"/>
      <c r="F12" s="466"/>
      <c r="G12" s="466"/>
      <c r="H12" s="466"/>
      <c r="I12" s="424"/>
    </row>
    <row r="13" spans="1:15" x14ac:dyDescent="0.25">
      <c r="B13" s="444" t="s">
        <v>423</v>
      </c>
      <c r="C13" s="445"/>
      <c r="D13" s="445"/>
      <c r="E13" s="445"/>
      <c r="F13" s="445"/>
      <c r="G13" s="446"/>
      <c r="H13" s="466"/>
    </row>
    <row r="14" spans="1:15" x14ac:dyDescent="0.25">
      <c r="B14" s="447" t="s">
        <v>414</v>
      </c>
      <c r="C14" s="439" t="s">
        <v>96</v>
      </c>
      <c r="D14" s="439" t="s">
        <v>424</v>
      </c>
      <c r="E14" s="439" t="s">
        <v>131</v>
      </c>
      <c r="F14" s="439" t="s">
        <v>183</v>
      </c>
      <c r="G14" s="448" t="s">
        <v>133</v>
      </c>
      <c r="H14" s="466"/>
    </row>
    <row r="15" spans="1:15" x14ac:dyDescent="0.25">
      <c r="B15" s="449" t="s">
        <v>415</v>
      </c>
      <c r="C15" s="427">
        <v>5</v>
      </c>
      <c r="D15" s="430" t="s">
        <v>141</v>
      </c>
      <c r="E15" s="432" cm="1">
        <f t="array" ref="E15">IF($B15="Select", "-", IFERROR(INDEX(LettersPriceTable!$C$2:$C$96, MATCH(1, ($B15=LettersPriceTable!$A$2:$A$96) * ($D15=LettersPriceTable!$B$2:$B$96), 0)), ""))</f>
        <v>34.5</v>
      </c>
      <c r="F15" s="434"/>
      <c r="G15" s="460">
        <f>IF(SUM(C15)&gt;0,SUM((C15*E15)-F15),"")</f>
        <v>172.5</v>
      </c>
      <c r="H15" s="466"/>
      <c r="J15" s="429" t="s">
        <v>254</v>
      </c>
      <c r="K15" s="430" t="s">
        <v>234</v>
      </c>
      <c r="L15" s="430" t="s">
        <v>234</v>
      </c>
    </row>
    <row r="16" spans="1:15" x14ac:dyDescent="0.25">
      <c r="B16" s="449" t="s">
        <v>417</v>
      </c>
      <c r="C16" s="427"/>
      <c r="D16" s="430" t="s">
        <v>234</v>
      </c>
      <c r="E16" s="432" t="str" cm="1">
        <f t="array" ref="E16">IF($B16="Select", "-", IFERROR(INDEX(LettersPriceTable!$C$2:$C$96, MATCH(1, ($B16=LettersPriceTable!$A$2:$A$96) * ($D16=LettersPriceTable!$B$2:$B$96), 0)), ""))</f>
        <v/>
      </c>
      <c r="F16" s="434"/>
      <c r="G16" s="460" t="str">
        <f t="shared" ref="G16:G38" si="0">IF(SUM(C16)&gt;0,SUM((C16*E16)-F16),"")</f>
        <v/>
      </c>
      <c r="H16" s="466"/>
      <c r="J16" s="423" t="s">
        <v>415</v>
      </c>
      <c r="K16" s="428" t="s">
        <v>185</v>
      </c>
      <c r="L16" s="428" t="s">
        <v>135</v>
      </c>
    </row>
    <row r="17" spans="1:12" x14ac:dyDescent="0.25">
      <c r="B17" s="449" t="s">
        <v>254</v>
      </c>
      <c r="C17" s="427"/>
      <c r="D17" s="430" t="s">
        <v>234</v>
      </c>
      <c r="E17" s="432" t="str" cm="1">
        <f t="array" ref="E17">IF($B17="Select", "-", IFERROR(INDEX(LettersPriceTable!$C$2:$C$96, MATCH(1, ($B17=LettersPriceTable!$A$2:$A$96) * ($D17=LettersPriceTable!$B$2:$B$96), 0)), ""))</f>
        <v/>
      </c>
      <c r="F17" s="434"/>
      <c r="G17" s="460" t="str">
        <f t="shared" si="0"/>
        <v/>
      </c>
      <c r="H17" s="466"/>
      <c r="J17" s="423" t="s">
        <v>416</v>
      </c>
      <c r="K17" s="425" t="s">
        <v>186</v>
      </c>
      <c r="L17" s="425" t="s">
        <v>136</v>
      </c>
    </row>
    <row r="18" spans="1:12" x14ac:dyDescent="0.25">
      <c r="A18" s="467"/>
      <c r="B18" s="449" t="s">
        <v>254</v>
      </c>
      <c r="C18" s="427"/>
      <c r="D18" s="430" t="s">
        <v>234</v>
      </c>
      <c r="E18" s="432" t="str" cm="1">
        <f t="array" ref="E18">IF($B18="Select", "-", IFERROR(INDEX(LettersPriceTable!$C$2:$C$96, MATCH(1, ($B18=LettersPriceTable!$A$2:$A$96) * ($D18=LettersPriceTable!$B$2:$B$96), 0)), ""))</f>
        <v/>
      </c>
      <c r="F18" s="434"/>
      <c r="G18" s="460" t="str">
        <f t="shared" si="0"/>
        <v/>
      </c>
      <c r="H18" s="466"/>
      <c r="J18" s="423" t="s">
        <v>417</v>
      </c>
      <c r="K18" s="425" t="s">
        <v>187</v>
      </c>
      <c r="L18" s="425" t="s">
        <v>137</v>
      </c>
    </row>
    <row r="19" spans="1:12" x14ac:dyDescent="0.25">
      <c r="B19" s="449" t="s">
        <v>254</v>
      </c>
      <c r="C19" s="427"/>
      <c r="D19" s="430" t="s">
        <v>234</v>
      </c>
      <c r="E19" s="432" t="str" cm="1">
        <f t="array" ref="E19">IF($B19="Select", "-", IFERROR(INDEX(LettersPriceTable!$C$2:$C$96, MATCH(1, ($B19=LettersPriceTable!$A$2:$A$96) * ($D19=LettersPriceTable!$B$2:$B$96), 0)), ""))</f>
        <v/>
      </c>
      <c r="F19" s="434"/>
      <c r="G19" s="460" t="str">
        <f t="shared" si="0"/>
        <v/>
      </c>
      <c r="H19" s="466"/>
      <c r="J19" s="423" t="s">
        <v>409</v>
      </c>
      <c r="K19" s="425" t="s">
        <v>188</v>
      </c>
      <c r="L19" s="425" t="s">
        <v>138</v>
      </c>
    </row>
    <row r="20" spans="1:12" x14ac:dyDescent="0.25">
      <c r="B20" s="449" t="s">
        <v>254</v>
      </c>
      <c r="C20" s="427"/>
      <c r="D20" s="430" t="s">
        <v>234</v>
      </c>
      <c r="E20" s="432" t="str" cm="1">
        <f t="array" ref="E20">IF($B20="Select", "-", IFERROR(INDEX(LettersPriceTable!$C$2:$C$96, MATCH(1, ($B20=LettersPriceTable!$A$2:$A$96) * ($D20=LettersPriceTable!$B$2:$B$96), 0)), ""))</f>
        <v/>
      </c>
      <c r="F20" s="434"/>
      <c r="G20" s="460" t="str">
        <f t="shared" si="0"/>
        <v/>
      </c>
      <c r="H20" s="466"/>
      <c r="J20" s="423" t="s">
        <v>410</v>
      </c>
      <c r="K20" s="425" t="s">
        <v>189</v>
      </c>
      <c r="L20" s="425" t="s">
        <v>139</v>
      </c>
    </row>
    <row r="21" spans="1:12" x14ac:dyDescent="0.25">
      <c r="B21" s="449" t="s">
        <v>254</v>
      </c>
      <c r="C21" s="427"/>
      <c r="D21" s="430" t="s">
        <v>234</v>
      </c>
      <c r="E21" s="432" t="str" cm="1">
        <f t="array" ref="E21">IF($B21="Select", "-", IFERROR(INDEX(LettersPriceTable!$C$2:$C$96, MATCH(1, ($B21=LettersPriceTable!$A$2:$A$96) * ($D21=LettersPriceTable!$B$2:$B$96), 0)), ""))</f>
        <v/>
      </c>
      <c r="F21" s="434"/>
      <c r="G21" s="460" t="str">
        <f t="shared" si="0"/>
        <v/>
      </c>
      <c r="H21" s="466"/>
      <c r="L21" s="425" t="s">
        <v>140</v>
      </c>
    </row>
    <row r="22" spans="1:12" x14ac:dyDescent="0.25">
      <c r="B22" s="449" t="s">
        <v>254</v>
      </c>
      <c r="C22" s="427"/>
      <c r="D22" s="430" t="s">
        <v>234</v>
      </c>
      <c r="E22" s="432" t="str" cm="1">
        <f t="array" ref="E22">IF($B22="Select", "-", IFERROR(INDEX(LettersPriceTable!$C$2:$C$96, MATCH(1, ($B22=LettersPriceTable!$A$2:$A$96) * ($D22=LettersPriceTable!$B$2:$B$96), 0)), ""))</f>
        <v/>
      </c>
      <c r="F22" s="434"/>
      <c r="G22" s="460" t="str">
        <f t="shared" si="0"/>
        <v/>
      </c>
      <c r="H22" s="466"/>
      <c r="L22" s="425" t="s">
        <v>141</v>
      </c>
    </row>
    <row r="23" spans="1:12" x14ac:dyDescent="0.25">
      <c r="B23" s="449" t="s">
        <v>254</v>
      </c>
      <c r="C23" s="427"/>
      <c r="D23" s="430" t="s">
        <v>234</v>
      </c>
      <c r="E23" s="432" t="str" cm="1">
        <f t="array" ref="E23">IF($B23="Select", "-", IFERROR(INDEX(LettersPriceTable!$C$2:$C$96, MATCH(1, ($B23=LettersPriceTable!$A$2:$A$96) * ($D23=LettersPriceTable!$B$2:$B$96), 0)), ""))</f>
        <v/>
      </c>
      <c r="F23" s="434"/>
      <c r="G23" s="460" t="str">
        <f t="shared" si="0"/>
        <v/>
      </c>
      <c r="H23" s="466"/>
      <c r="L23" s="425" t="s">
        <v>142</v>
      </c>
    </row>
    <row r="24" spans="1:12" x14ac:dyDescent="0.25">
      <c r="B24" s="449" t="s">
        <v>254</v>
      </c>
      <c r="C24" s="427"/>
      <c r="D24" s="430" t="s">
        <v>234</v>
      </c>
      <c r="E24" s="432" t="str" cm="1">
        <f t="array" ref="E24">IF($B24="Select", "-", IFERROR(INDEX(LettersPriceTable!$C$2:$C$96, MATCH(1, ($B24=LettersPriceTable!$A$2:$A$96) * ($D24=LettersPriceTable!$B$2:$B$96), 0)), ""))</f>
        <v/>
      </c>
      <c r="F24" s="434"/>
      <c r="G24" s="460" t="str">
        <f t="shared" si="0"/>
        <v/>
      </c>
      <c r="H24" s="466"/>
      <c r="L24" s="425" t="s">
        <v>143</v>
      </c>
    </row>
    <row r="25" spans="1:12" x14ac:dyDescent="0.25">
      <c r="B25" s="449" t="s">
        <v>254</v>
      </c>
      <c r="C25" s="427"/>
      <c r="D25" s="430" t="s">
        <v>234</v>
      </c>
      <c r="E25" s="432">
        <v>0</v>
      </c>
      <c r="F25" s="434"/>
      <c r="G25" s="460" t="str">
        <f t="shared" si="0"/>
        <v/>
      </c>
      <c r="H25" s="466"/>
      <c r="L25" s="425" t="s">
        <v>144</v>
      </c>
    </row>
    <row r="26" spans="1:12" x14ac:dyDescent="0.25">
      <c r="B26" s="449" t="s">
        <v>254</v>
      </c>
      <c r="C26" s="427"/>
      <c r="D26" s="430" t="s">
        <v>234</v>
      </c>
      <c r="E26" s="432" t="str" cm="1">
        <f t="array" ref="E26">IF($B26="Select", "-", IFERROR(INDEX(LettersPriceTable!$C$2:$C$96, MATCH(1, ($B26=LettersPriceTable!$A$2:$A$96) * ($D26=LettersPriceTable!$B$2:$B$96), 0)), ""))</f>
        <v/>
      </c>
      <c r="F26" s="434"/>
      <c r="G26" s="460" t="str">
        <f t="shared" si="0"/>
        <v/>
      </c>
      <c r="H26" s="466"/>
      <c r="L26" s="425" t="s">
        <v>145</v>
      </c>
    </row>
    <row r="27" spans="1:12" x14ac:dyDescent="0.25">
      <c r="B27" s="449" t="s">
        <v>254</v>
      </c>
      <c r="C27" s="427"/>
      <c r="D27" s="430" t="s">
        <v>234</v>
      </c>
      <c r="E27" s="432" t="str" cm="1">
        <f t="array" ref="E27">IF($B27="Select", "-", IFERROR(INDEX(LettersPriceTable!$C$2:$C$96, MATCH(1, ($B27=LettersPriceTable!$A$2:$A$96) * ($D27=LettersPriceTable!$B$2:$B$96), 0)), ""))</f>
        <v/>
      </c>
      <c r="F27" s="434"/>
      <c r="G27" s="460" t="str">
        <f t="shared" si="0"/>
        <v/>
      </c>
      <c r="H27" s="466"/>
      <c r="L27" s="425" t="s">
        <v>146</v>
      </c>
    </row>
    <row r="28" spans="1:12" x14ac:dyDescent="0.25">
      <c r="B28" s="449" t="s">
        <v>254</v>
      </c>
      <c r="C28" s="427"/>
      <c r="D28" s="430" t="s">
        <v>234</v>
      </c>
      <c r="E28" s="432" t="str" cm="1">
        <f t="array" ref="E28">IF($B28="Select", "-", IFERROR(INDEX(LettersPriceTable!$C$2:$C$96, MATCH(1, ($B28=LettersPriceTable!$A$2:$A$96) * ($D28=LettersPriceTable!$B$2:$B$96), 0)), ""))</f>
        <v/>
      </c>
      <c r="F28" s="434"/>
      <c r="G28" s="460" t="str">
        <f t="shared" si="0"/>
        <v/>
      </c>
      <c r="H28" s="466"/>
      <c r="L28" s="425" t="s">
        <v>147</v>
      </c>
    </row>
    <row r="29" spans="1:12" x14ac:dyDescent="0.25">
      <c r="B29" s="449" t="s">
        <v>254</v>
      </c>
      <c r="C29" s="427"/>
      <c r="D29" s="430" t="s">
        <v>234</v>
      </c>
      <c r="E29" s="432" t="str" cm="1">
        <f t="array" ref="E29">IF($B29="Select", "-", IFERROR(INDEX(LettersPriceTable!$C$2:$C$96, MATCH(1, ($B29=LettersPriceTable!$A$2:$A$96) * ($D29=LettersPriceTable!$B$2:$B$96), 0)), ""))</f>
        <v/>
      </c>
      <c r="F29" s="434"/>
      <c r="G29" s="460" t="str">
        <f t="shared" si="0"/>
        <v/>
      </c>
      <c r="H29" s="466"/>
      <c r="L29" s="425" t="s">
        <v>148</v>
      </c>
    </row>
    <row r="30" spans="1:12" x14ac:dyDescent="0.25">
      <c r="B30" s="449" t="s">
        <v>254</v>
      </c>
      <c r="C30" s="427"/>
      <c r="D30" s="430" t="s">
        <v>234</v>
      </c>
      <c r="E30" s="432" t="str" cm="1">
        <f t="array" ref="E30">IF($B30="Select", "-", IFERROR(INDEX(LettersPriceTable!$C$2:$C$96, MATCH(1, ($B30=LettersPriceTable!$A$2:$A$96) * ($D30=LettersPriceTable!$B$2:$B$96), 0)), ""))</f>
        <v/>
      </c>
      <c r="F30" s="434"/>
      <c r="G30" s="460" t="str">
        <f t="shared" si="0"/>
        <v/>
      </c>
      <c r="H30" s="466"/>
      <c r="L30" s="425" t="s">
        <v>149</v>
      </c>
    </row>
    <row r="31" spans="1:12" x14ac:dyDescent="0.25">
      <c r="B31" s="449" t="s">
        <v>254</v>
      </c>
      <c r="C31" s="427"/>
      <c r="D31" s="430" t="s">
        <v>234</v>
      </c>
      <c r="E31" s="432" t="str" cm="1">
        <f t="array" ref="E31">IF($B31="Select", "-", IFERROR(INDEX(LettersPriceTable!$C$2:$C$96, MATCH(1, ($B31=LettersPriceTable!$A$2:$A$96) * ($D31=LettersPriceTable!$B$2:$B$96), 0)), ""))</f>
        <v/>
      </c>
      <c r="F31" s="434"/>
      <c r="G31" s="460" t="str">
        <f t="shared" si="0"/>
        <v/>
      </c>
      <c r="H31" s="466"/>
      <c r="L31" s="426" t="s">
        <v>150</v>
      </c>
    </row>
    <row r="32" spans="1:12" x14ac:dyDescent="0.25">
      <c r="B32" s="449" t="s">
        <v>254</v>
      </c>
      <c r="C32" s="427"/>
      <c r="D32" s="430" t="s">
        <v>234</v>
      </c>
      <c r="E32" s="432" t="str" cm="1">
        <f t="array" ref="E32">IF($B32="Select", "-", IFERROR(INDEX(LettersPriceTable!$C$2:$C$96, MATCH(1, ($B32=LettersPriceTable!$A$2:$A$96) * ($D32=LettersPriceTable!$B$2:$B$96), 0)), ""))</f>
        <v/>
      </c>
      <c r="F32" s="434"/>
      <c r="G32" s="460" t="str">
        <f t="shared" si="0"/>
        <v/>
      </c>
      <c r="H32" s="466"/>
      <c r="L32" s="426" t="s">
        <v>151</v>
      </c>
    </row>
    <row r="33" spans="2:12" x14ac:dyDescent="0.25">
      <c r="B33" s="449" t="s">
        <v>254</v>
      </c>
      <c r="C33" s="427"/>
      <c r="D33" s="430" t="s">
        <v>234</v>
      </c>
      <c r="E33" s="432" t="str" cm="1">
        <f t="array" ref="E33">IF($B33="Select", "-", IFERROR(INDEX(LettersPriceTable!$C$2:$C$96, MATCH(1, ($B33=LettersPriceTable!$A$2:$A$96) * ($D33=LettersPriceTable!$B$2:$B$96), 0)), ""))</f>
        <v/>
      </c>
      <c r="F33" s="434"/>
      <c r="G33" s="460" t="str">
        <f t="shared" si="0"/>
        <v/>
      </c>
      <c r="H33" s="466"/>
      <c r="L33" s="426" t="s">
        <v>152</v>
      </c>
    </row>
    <row r="34" spans="2:12" x14ac:dyDescent="0.25">
      <c r="B34" s="449" t="s">
        <v>254</v>
      </c>
      <c r="C34" s="427"/>
      <c r="D34" s="430" t="s">
        <v>234</v>
      </c>
      <c r="E34" s="432" t="str" cm="1">
        <f t="array" ref="E34">IF($B34="Select", "-", IFERROR(INDEX(LettersPriceTable!$C$2:$C$96, MATCH(1, ($B34=LettersPriceTable!$A$2:$A$96) * ($D34=LettersPriceTable!$B$2:$B$96), 0)), ""))</f>
        <v/>
      </c>
      <c r="F34" s="434"/>
      <c r="G34" s="460" t="str">
        <f t="shared" si="0"/>
        <v/>
      </c>
      <c r="H34" s="466"/>
      <c r="L34" s="426" t="s">
        <v>153</v>
      </c>
    </row>
    <row r="35" spans="2:12" x14ac:dyDescent="0.25">
      <c r="B35" s="449" t="s">
        <v>254</v>
      </c>
      <c r="C35" s="427"/>
      <c r="D35" s="430" t="s">
        <v>234</v>
      </c>
      <c r="E35" s="432" t="str" cm="1">
        <f t="array" ref="E35">IF($B35="Select", "-", IFERROR(INDEX(LettersPriceTable!$C$2:$C$96, MATCH(1, ($B35=LettersPriceTable!$A$2:$A$96) * ($D35=LettersPriceTable!$B$2:$B$96), 0)), ""))</f>
        <v/>
      </c>
      <c r="F35" s="434"/>
      <c r="G35" s="460" t="str">
        <f t="shared" si="0"/>
        <v/>
      </c>
      <c r="H35" s="466"/>
    </row>
    <row r="36" spans="2:12" x14ac:dyDescent="0.25">
      <c r="B36" s="449" t="s">
        <v>254</v>
      </c>
      <c r="C36" s="427"/>
      <c r="D36" s="430" t="s">
        <v>234</v>
      </c>
      <c r="E36" s="432" t="str" cm="1">
        <f t="array" ref="E36">IF($B36="Select", "-", IFERROR(INDEX(LettersPriceTable!$C$2:$C$96, MATCH(1, ($B36=LettersPriceTable!$A$2:$A$96) * ($D36=LettersPriceTable!$B$2:$B$96), 0)), ""))</f>
        <v/>
      </c>
      <c r="F36" s="434"/>
      <c r="G36" s="460" t="str">
        <f t="shared" si="0"/>
        <v/>
      </c>
      <c r="H36" s="466"/>
    </row>
    <row r="37" spans="2:12" x14ac:dyDescent="0.25">
      <c r="B37" s="449" t="s">
        <v>254</v>
      </c>
      <c r="C37" s="427"/>
      <c r="D37" s="430" t="s">
        <v>234</v>
      </c>
      <c r="E37" s="432" t="str" cm="1">
        <f t="array" ref="E37">IF($B37="Select", "-", IFERROR(INDEX(LettersPriceTable!$C$2:$C$96, MATCH(1, ($B37=LettersPriceTable!$A$2:$A$96) * ($D37=LettersPriceTable!$B$2:$B$96), 0)), ""))</f>
        <v/>
      </c>
      <c r="F37" s="434"/>
      <c r="G37" s="460" t="str">
        <f t="shared" si="0"/>
        <v/>
      </c>
      <c r="H37" s="466"/>
    </row>
    <row r="38" spans="2:12" x14ac:dyDescent="0.25">
      <c r="B38" s="449" t="s">
        <v>254</v>
      </c>
      <c r="C38" s="427"/>
      <c r="D38" s="430" t="s">
        <v>234</v>
      </c>
      <c r="E38" s="432" t="str" cm="1">
        <f t="array" ref="E38">IF($B38="Select", "-", IFERROR(INDEX(LettersPriceTable!$C$2:$C$96, MATCH(1, ($B38=LettersPriceTable!$A$2:$A$96) * ($D38=LettersPriceTable!$B$2:$B$96), 0)), ""))</f>
        <v/>
      </c>
      <c r="F38" s="434"/>
      <c r="G38" s="460" t="str">
        <f t="shared" si="0"/>
        <v/>
      </c>
      <c r="H38" s="466"/>
    </row>
    <row r="39" spans="2:12" x14ac:dyDescent="0.25">
      <c r="B39" s="447" t="s">
        <v>184</v>
      </c>
      <c r="C39" s="439"/>
      <c r="D39" s="439"/>
      <c r="E39" s="440"/>
      <c r="F39" s="440"/>
      <c r="G39" s="461"/>
      <c r="H39" s="466"/>
    </row>
    <row r="40" spans="2:12" x14ac:dyDescent="0.25">
      <c r="B40" s="449" t="s">
        <v>254</v>
      </c>
      <c r="C40" s="427">
        <v>1</v>
      </c>
      <c r="D40" s="430" t="s">
        <v>185</v>
      </c>
      <c r="E40" s="433" t="str" cm="1">
        <f t="array" ref="E40">IF($B40="Select", "-", IFERROR(INDEX(LettersPriceTable!$H$2:$H$26, MATCH(1, ($B40=LettersPriceTable!$F$2:$F$26) * ($D40=LettersPriceTable!$G$2:$G$26), 0)), ""))</f>
        <v/>
      </c>
      <c r="F40" s="435"/>
      <c r="G40" s="462" t="e">
        <f>IF(OR(ISBLANK(C40), ISBLANK(E40)), "", (C40*E40)*1.2)</f>
        <v>#VALUE!</v>
      </c>
      <c r="H40" s="466"/>
    </row>
    <row r="41" spans="2:12" x14ac:dyDescent="0.25">
      <c r="B41" s="449" t="s">
        <v>254</v>
      </c>
      <c r="C41" s="427"/>
      <c r="D41" s="430" t="s">
        <v>234</v>
      </c>
      <c r="E41" s="433" t="str" cm="1">
        <f t="array" ref="E41">IF($B41="Select", "-", IFERROR(INDEX(LettersPriceTable!$H$2:$H$26, MATCH(1, ($B41=LettersPriceTable!$F$2:$F$26) * ($D41=LettersPriceTable!$G$2:$G$26), 0)), ""))</f>
        <v/>
      </c>
      <c r="F41" s="435"/>
      <c r="G41" s="462" t="str">
        <f>IF(OR(ISBLANK(C41), ISBLANK(E41)), "", (C41*E41)*1.2)</f>
        <v/>
      </c>
      <c r="H41" s="466"/>
    </row>
    <row r="42" spans="2:12" x14ac:dyDescent="0.25">
      <c r="B42" s="449" t="s">
        <v>254</v>
      </c>
      <c r="C42" s="427"/>
      <c r="D42" s="430" t="s">
        <v>234</v>
      </c>
      <c r="E42" s="433" t="str" cm="1">
        <f t="array" ref="E42">IF($B42="Select", "-", IFERROR(INDEX(LettersPriceTable!$H$2:$H$26, MATCH(1, ($B42=LettersPriceTable!$F$2:$F$26) * ($D42=LettersPriceTable!$G$2:$G$26), 0)), ""))</f>
        <v/>
      </c>
      <c r="F42" s="435"/>
      <c r="G42" s="462" t="str">
        <f>IF(OR(ISBLANK(C42), ISBLANK(E42)), "", (C42*E42)*1.2)</f>
        <v/>
      </c>
      <c r="H42" s="466"/>
    </row>
    <row r="43" spans="2:12" x14ac:dyDescent="0.25">
      <c r="B43" s="449" t="s">
        <v>254</v>
      </c>
      <c r="C43" s="427"/>
      <c r="D43" s="430" t="s">
        <v>234</v>
      </c>
      <c r="E43" s="433" t="str" cm="1">
        <f t="array" ref="E43">IF($B43="Select", "-", IFERROR(INDEX(LettersPriceTable!$H$2:$H$26, MATCH(1, ($B43=LettersPriceTable!$F$2:$F$26) * ($D43=LettersPriceTable!$G$2:$G$26), 0)), ""))</f>
        <v/>
      </c>
      <c r="F43" s="435"/>
      <c r="G43" s="462" t="str">
        <f>IF(OR(ISBLANK(C43), ISBLANK(E43)), "", (C43*E43)*1.2)</f>
        <v/>
      </c>
      <c r="H43" s="466"/>
    </row>
    <row r="44" spans="2:12" x14ac:dyDescent="0.25">
      <c r="B44" s="449" t="s">
        <v>415</v>
      </c>
      <c r="C44" s="427"/>
      <c r="D44" s="430" t="s">
        <v>234</v>
      </c>
      <c r="E44" s="433" t="str" cm="1">
        <f t="array" ref="E44">IF($B45="Select", "-", IFERROR(INDEX(LettersPriceTable!$H$2:$H$26, MATCH(1, ($B45=LettersPriceTable!$F$2:$F$26) * ($D45=LettersPriceTable!$G$2:$G$26), 0)), ""))</f>
        <v/>
      </c>
      <c r="F44" s="435"/>
      <c r="G44" s="462" t="str">
        <f>IF(OR(ISBLANK(C44), ISBLANK(#REF!)), "", (C44*#REF!)*1.2)</f>
        <v/>
      </c>
      <c r="H44" s="466"/>
    </row>
    <row r="45" spans="2:12" x14ac:dyDescent="0.25">
      <c r="B45" s="449" t="s">
        <v>254</v>
      </c>
      <c r="C45" s="427"/>
      <c r="D45" s="430" t="s">
        <v>234</v>
      </c>
      <c r="E45" s="433" t="str" cm="1">
        <f t="array" ref="E45">IF($B45="Select", "-", IFERROR(INDEX(LettersPriceTable!$H$2:$H$26, MATCH(1, ($B45=LettersPriceTable!$F$2:$F$26) * ($D45=LettersPriceTable!$G$2:$G$26), 0)), ""))</f>
        <v/>
      </c>
      <c r="F45" s="435"/>
      <c r="G45" s="462" t="str">
        <f>IF(OR(ISBLANK(C45), ISBLANK(E44)), "", (C45*E44)*1.2)</f>
        <v/>
      </c>
      <c r="H45" s="466"/>
    </row>
    <row r="46" spans="2:12" x14ac:dyDescent="0.25">
      <c r="B46" s="449" t="s">
        <v>254</v>
      </c>
      <c r="C46" s="427"/>
      <c r="D46" s="430" t="s">
        <v>234</v>
      </c>
      <c r="E46" s="433" t="str" cm="1">
        <f t="array" ref="E46">IF($B46="Select", "-", IFERROR(INDEX(LettersPriceTable!$H$2:$H$26, MATCH(1, ($B46=LettersPriceTable!$F$2:$F$26) * ($D46=LettersPriceTable!$G$2:$G$26), 0)), ""))</f>
        <v/>
      </c>
      <c r="F46" s="435"/>
      <c r="G46" s="462" t="str">
        <f>IF(OR(ISBLANK(C46), ISBLANK(E46)), "", (C46*E46)*1.2)</f>
        <v/>
      </c>
      <c r="H46" s="466"/>
    </row>
    <row r="47" spans="2:12" x14ac:dyDescent="0.25">
      <c r="B47" s="447" t="s">
        <v>159</v>
      </c>
      <c r="C47" s="439"/>
      <c r="D47" s="439"/>
      <c r="E47" s="440"/>
      <c r="F47" s="440"/>
      <c r="G47" s="461"/>
      <c r="H47" s="466"/>
    </row>
    <row r="48" spans="2:12" x14ac:dyDescent="0.25">
      <c r="B48" s="449" t="s">
        <v>410</v>
      </c>
      <c r="C48" s="427">
        <v>4</v>
      </c>
      <c r="D48" s="178"/>
      <c r="E48" s="433">
        <f>IF($B48="Select", "-", IFERROR(INDEX(LettersPriceTable!$L$2:$L$6, MATCH($B48, LettersPriceTable!$K$2:$K$6, 0)), ""))</f>
        <v>2.5</v>
      </c>
      <c r="F48" s="436">
        <f>IF(OR(ISBLANK(E48), ISBLANK(C48)), "", SUM(E48*C48))</f>
        <v>10</v>
      </c>
      <c r="G48" s="462">
        <f>IF(OR(ISBLANK(C48), ISBLANK(E48)), "", SUM(C48*E48))</f>
        <v>10</v>
      </c>
      <c r="H48" s="466"/>
    </row>
    <row r="49" spans="2:8" x14ac:dyDescent="0.25">
      <c r="B49" s="449" t="s">
        <v>254</v>
      </c>
      <c r="C49" s="427"/>
      <c r="D49" s="178"/>
      <c r="E49" s="433" t="str">
        <f>IF($B49="Select", "-", IFERROR(INDEX(LettersPriceTable!$L$2:$L$6, MATCH($B49, LettersPriceTable!$K$2:$K$6, 0)), ""))</f>
        <v/>
      </c>
      <c r="F49" s="436" t="str">
        <f>IF(OR(ISBLANK(E49), ISBLANK(C49)), "", SUM(E49*C49))</f>
        <v/>
      </c>
      <c r="G49" s="462" t="str">
        <f>IF(OR(ISBLANK(C49), ISBLANK(E49)), "", SUM(C49*E49))</f>
        <v/>
      </c>
      <c r="H49" s="466"/>
    </row>
    <row r="50" spans="2:8" x14ac:dyDescent="0.25">
      <c r="B50" s="449" t="s">
        <v>254</v>
      </c>
      <c r="C50" s="427"/>
      <c r="D50" s="178"/>
      <c r="E50" s="433" t="str">
        <f>IF($B50="Select", "-", IFERROR(INDEX(LettersPriceTable!$L$2:$L$6, MATCH($B50, LettersPriceTable!$K$2:$K$6, 0)), ""))</f>
        <v/>
      </c>
      <c r="F50" s="436" t="str">
        <f>IF(OR(ISBLANK(E50), ISBLANK(C50)), "", SUM(E50*C50))</f>
        <v/>
      </c>
      <c r="G50" s="462" t="str">
        <f>IF(OR(ISBLANK(C50), ISBLANK(E50)), "", SUM(C50*E50))</f>
        <v/>
      </c>
      <c r="H50" s="466"/>
    </row>
    <row r="51" spans="2:8" x14ac:dyDescent="0.25">
      <c r="B51" s="449" t="s">
        <v>254</v>
      </c>
      <c r="C51" s="427"/>
      <c r="D51" s="178"/>
      <c r="E51" s="433" t="str">
        <f>IF($B51="Select", "-", IFERROR(INDEX(LettersPriceTable!$L$2:$L$6, MATCH($B51, LettersPriceTable!$K$2:$K$6, 0)), ""))</f>
        <v/>
      </c>
      <c r="F51" s="436" t="str">
        <f>IF(OR(ISBLANK(E51), ISBLANK(C51)), "", SUM(E51*C51))</f>
        <v/>
      </c>
      <c r="G51" s="462" t="str">
        <f>IF(OR(ISBLANK(C51), ISBLANK(E51)), "", SUM(C51*E51))</f>
        <v/>
      </c>
      <c r="H51" s="466"/>
    </row>
    <row r="52" spans="2:8" ht="14.25" customHeight="1" x14ac:dyDescent="0.25">
      <c r="B52" s="447" t="s">
        <v>154</v>
      </c>
      <c r="C52" s="439"/>
      <c r="D52" s="439"/>
      <c r="E52" s="440"/>
      <c r="F52" s="440"/>
      <c r="G52" s="461"/>
      <c r="H52" s="466"/>
    </row>
    <row r="53" spans="2:8" x14ac:dyDescent="0.25">
      <c r="B53" s="469" t="s">
        <v>172</v>
      </c>
      <c r="D53" s="174"/>
      <c r="E53" s="435"/>
      <c r="F53" s="435"/>
      <c r="G53" s="460">
        <v>0</v>
      </c>
      <c r="H53" s="466"/>
    </row>
    <row r="54" spans="2:8" ht="15" customHeight="1" x14ac:dyDescent="0.25">
      <c r="B54" s="447" t="s">
        <v>161</v>
      </c>
      <c r="C54" s="439"/>
      <c r="D54" s="439"/>
      <c r="E54" s="440"/>
      <c r="F54" s="440"/>
      <c r="G54" s="461"/>
      <c r="H54" s="466"/>
    </row>
    <row r="55" spans="2:8" x14ac:dyDescent="0.25">
      <c r="B55" s="470" t="s">
        <v>162</v>
      </c>
      <c r="D55" s="174"/>
      <c r="E55" s="431">
        <v>2.5</v>
      </c>
      <c r="F55" s="436" t="str">
        <f>IF(OR(ISBLANK(E55), ISBLANK(C55)), "", SUM(E55*C55))</f>
        <v/>
      </c>
      <c r="G55" s="460">
        <f>C55*E55</f>
        <v>0</v>
      </c>
      <c r="H55" s="466"/>
    </row>
    <row r="56" spans="2:8" ht="15" customHeight="1" x14ac:dyDescent="0.25">
      <c r="B56" s="447" t="s">
        <v>163</v>
      </c>
      <c r="C56" s="439"/>
      <c r="D56" s="439"/>
      <c r="E56" s="440"/>
      <c r="F56" s="440"/>
      <c r="G56" s="461"/>
      <c r="H56" s="466"/>
    </row>
    <row r="57" spans="2:8" x14ac:dyDescent="0.25">
      <c r="B57" s="469" t="s">
        <v>191</v>
      </c>
      <c r="D57" s="174"/>
      <c r="E57" s="435"/>
      <c r="F57" s="435"/>
      <c r="G57" s="460">
        <v>0</v>
      </c>
      <c r="H57" s="466"/>
    </row>
    <row r="58" spans="2:8" ht="15" customHeight="1" x14ac:dyDescent="0.25">
      <c r="B58" s="447" t="s">
        <v>192</v>
      </c>
      <c r="C58" s="439"/>
      <c r="D58" s="439"/>
      <c r="E58" s="440"/>
      <c r="F58" s="440"/>
      <c r="G58" s="461"/>
      <c r="H58" s="466"/>
    </row>
    <row r="59" spans="2:8" x14ac:dyDescent="0.25">
      <c r="B59" s="449" t="s">
        <v>254</v>
      </c>
      <c r="C59" s="427"/>
      <c r="D59" s="178"/>
      <c r="E59" s="433" t="str">
        <f>IF($B59="Select", "-", IFERROR(INDEX(LettersPriceTable!$P$2:$P$6, MATCH($B59, LettersPriceTable!$O$2:$O$6, 0)), ""))</f>
        <v/>
      </c>
      <c r="F59" s="436" t="str">
        <f>IF(OR(ISBLANK(E59), ISBLANK(C59)), "", SUM(E59*C59))</f>
        <v/>
      </c>
      <c r="G59" s="462" t="str">
        <f>IF(OR(ISBLANK(C59), ISBLANK(E59)), "", SUM(C59*E59))</f>
        <v/>
      </c>
      <c r="H59" s="466"/>
    </row>
    <row r="60" spans="2:8" x14ac:dyDescent="0.25">
      <c r="B60" s="449" t="s">
        <v>254</v>
      </c>
      <c r="C60" s="427"/>
      <c r="D60" s="178"/>
      <c r="E60" s="433" t="str">
        <f>IF($B60="Select", "-", IFERROR(INDEX(LettersPriceTable!$P$2:$P$6, MATCH($B60, LettersPriceTable!$O$2:$O$6, 0)), ""))</f>
        <v/>
      </c>
      <c r="F60" s="436" t="str">
        <f>IF(OR(ISBLANK(E60), ISBLANK(C60)), "", SUM(E60*C60))</f>
        <v/>
      </c>
      <c r="G60" s="462" t="str">
        <f>IF(OR(ISBLANK(C60), ISBLANK(E60)), "", SUM(C60*E60))</f>
        <v/>
      </c>
      <c r="H60" s="466"/>
    </row>
    <row r="61" spans="2:8" x14ac:dyDescent="0.25">
      <c r="B61" s="449" t="s">
        <v>254</v>
      </c>
      <c r="C61" s="427"/>
      <c r="D61" s="178"/>
      <c r="E61" s="433" t="str">
        <f>IF($B61="Select", "-", IFERROR(INDEX(LettersPriceTable!$P$2:$P$6, MATCH($B61, LettersPriceTable!$O$2:$O$6, 0)), ""))</f>
        <v/>
      </c>
      <c r="F61" s="436" t="str">
        <f>IF(OR(ISBLANK(E61), ISBLANK(C61)), "", SUM(E61*C61))</f>
        <v/>
      </c>
      <c r="G61" s="462" t="str">
        <f>IF(OR(ISBLANK(C61), ISBLANK(E61)), "", SUM(C61*E61))</f>
        <v/>
      </c>
      <c r="H61" s="466"/>
    </row>
    <row r="62" spans="2:8" x14ac:dyDescent="0.25">
      <c r="B62" s="449" t="s">
        <v>254</v>
      </c>
      <c r="C62" s="427"/>
      <c r="D62" s="178"/>
      <c r="E62" s="433" t="str">
        <f>IF($B62="Select", "-", IFERROR(INDEX(LettersPriceTable!$P$2:$P$6, MATCH($B62, LettersPriceTable!$O$2:$O$6, 0)), ""))</f>
        <v/>
      </c>
      <c r="F62" s="436" t="str">
        <f>IF(OR(ISBLANK(E62), ISBLANK(C62)), "", SUM(E62*C62))</f>
        <v/>
      </c>
      <c r="G62" s="462" t="str">
        <f>IF(OR(ISBLANK(C62), ISBLANK(E62)), "", SUM(C62*E62))</f>
        <v/>
      </c>
      <c r="H62" s="466"/>
    </row>
    <row r="63" spans="2:8" x14ac:dyDescent="0.25">
      <c r="B63" s="449" t="s">
        <v>254</v>
      </c>
      <c r="C63" s="427"/>
      <c r="D63" s="178"/>
      <c r="E63" s="433" t="str">
        <f>IF($B63="Select", "-", IFERROR(INDEX(LettersPriceTable!$P$2:$P$6, MATCH($B63, LettersPriceTable!$O$2:$O$6, 0)), ""))</f>
        <v/>
      </c>
      <c r="F63" s="436" t="str">
        <f>IF(OR(ISBLANK(E63), ISBLANK(C63)), "", SUM(E63*C63))</f>
        <v/>
      </c>
      <c r="G63" s="462" t="str">
        <f>IF(OR(ISBLANK(C63), ISBLANK(E63)), "", SUM(C63*E63))</f>
        <v/>
      </c>
      <c r="H63" s="466"/>
    </row>
    <row r="64" spans="2:8" ht="21" x14ac:dyDescent="0.35">
      <c r="B64" s="459" t="s">
        <v>167</v>
      </c>
      <c r="C64" s="441"/>
      <c r="D64" s="441"/>
      <c r="E64" s="442"/>
      <c r="F64" s="442"/>
      <c r="G64" s="451"/>
      <c r="H64" s="18"/>
    </row>
    <row r="65" spans="2:8" x14ac:dyDescent="0.25">
      <c r="B65" s="447"/>
      <c r="C65" s="676" t="s">
        <v>430</v>
      </c>
      <c r="D65" s="676"/>
      <c r="E65" s="463"/>
      <c r="F65" s="437"/>
      <c r="G65" s="452" t="e">
        <f>SUM(G15:G64)</f>
        <v>#VALUE!</v>
      </c>
      <c r="H65" s="18"/>
    </row>
    <row r="66" spans="2:8" x14ac:dyDescent="0.25">
      <c r="B66" s="447"/>
      <c r="C66" s="676" t="s">
        <v>168</v>
      </c>
      <c r="D66" s="676"/>
      <c r="E66" s="463"/>
      <c r="F66" s="438">
        <f>SUM(F48:F65)</f>
        <v>10</v>
      </c>
      <c r="G66" s="453"/>
      <c r="H66" s="18"/>
    </row>
    <row r="67" spans="2:8" x14ac:dyDescent="0.25">
      <c r="B67" s="447"/>
      <c r="C67" s="676" t="s">
        <v>429</v>
      </c>
      <c r="D67" s="676"/>
      <c r="E67" s="463"/>
      <c r="F67" s="438">
        <f>F66*(0.07)</f>
        <v>0.70000000000000007</v>
      </c>
      <c r="G67" s="454"/>
      <c r="H67" s="18"/>
    </row>
    <row r="68" spans="2:8" x14ac:dyDescent="0.25">
      <c r="B68" s="447"/>
      <c r="C68" s="677"/>
      <c r="D68" s="677"/>
      <c r="E68" s="439" t="s">
        <v>436</v>
      </c>
      <c r="F68" s="439" t="s">
        <v>437</v>
      </c>
      <c r="G68" s="448" t="s">
        <v>179</v>
      </c>
      <c r="H68" s="18"/>
    </row>
    <row r="69" spans="2:8" x14ac:dyDescent="0.25">
      <c r="B69" s="447"/>
      <c r="C69" s="676" t="s">
        <v>433</v>
      </c>
      <c r="D69" s="676"/>
      <c r="E69" s="464">
        <f>G11</f>
        <v>0</v>
      </c>
      <c r="F69" s="437">
        <v>90</v>
      </c>
      <c r="G69" s="452">
        <f>E69*F69</f>
        <v>0</v>
      </c>
      <c r="H69" s="18"/>
    </row>
    <row r="70" spans="2:8" x14ac:dyDescent="0.25">
      <c r="B70" s="447"/>
      <c r="C70" s="676" t="s">
        <v>434</v>
      </c>
      <c r="D70" s="676"/>
      <c r="E70" s="464"/>
      <c r="F70" s="437"/>
      <c r="G70" s="452"/>
      <c r="H70" s="18"/>
    </row>
    <row r="71" spans="2:8" x14ac:dyDescent="0.25">
      <c r="B71" s="447"/>
      <c r="C71" s="676" t="s">
        <v>432</v>
      </c>
      <c r="D71" s="676"/>
      <c r="E71" s="464"/>
      <c r="F71" s="437"/>
      <c r="G71" s="452"/>
      <c r="H71" s="18"/>
    </row>
    <row r="72" spans="2:8" x14ac:dyDescent="0.25">
      <c r="B72" s="447"/>
      <c r="C72" s="676" t="s">
        <v>435</v>
      </c>
      <c r="D72" s="676"/>
      <c r="E72" s="464">
        <f>G10</f>
        <v>0</v>
      </c>
      <c r="F72" s="437">
        <v>70</v>
      </c>
      <c r="G72" s="452">
        <f>E72*F72</f>
        <v>0</v>
      </c>
      <c r="H72" s="18"/>
    </row>
    <row r="73" spans="2:8" x14ac:dyDescent="0.25">
      <c r="B73" s="447"/>
      <c r="C73" s="676" t="s">
        <v>431</v>
      </c>
      <c r="D73" s="676"/>
      <c r="E73" s="464">
        <f>C10</f>
        <v>0</v>
      </c>
      <c r="F73" s="437">
        <v>30</v>
      </c>
      <c r="G73" s="452">
        <f>E73*F73</f>
        <v>0</v>
      </c>
      <c r="H73" s="18"/>
    </row>
    <row r="74" spans="2:8" x14ac:dyDescent="0.25">
      <c r="B74" s="447"/>
      <c r="C74" s="443"/>
      <c r="D74" s="678" t="s">
        <v>176</v>
      </c>
      <c r="E74" s="678"/>
      <c r="F74" s="679"/>
      <c r="G74" s="455" t="e">
        <f>SUM(G65:G73)</f>
        <v>#VALUE!</v>
      </c>
      <c r="H74" s="18"/>
    </row>
    <row r="75" spans="2:8" ht="21" x14ac:dyDescent="0.35">
      <c r="B75" s="450" t="s">
        <v>259</v>
      </c>
      <c r="C75" s="439"/>
      <c r="D75" s="439"/>
      <c r="E75" s="439"/>
      <c r="F75" s="439"/>
      <c r="G75" s="448"/>
      <c r="H75" s="18"/>
    </row>
    <row r="76" spans="2:8" ht="21" x14ac:dyDescent="0.35">
      <c r="B76" s="450"/>
      <c r="C76" s="439"/>
      <c r="D76" s="439"/>
      <c r="E76" s="443" t="s">
        <v>132</v>
      </c>
      <c r="F76" s="465">
        <v>0</v>
      </c>
      <c r="G76" s="456" t="e">
        <f>F76*G74</f>
        <v>#VALUE!</v>
      </c>
      <c r="H76" s="18"/>
    </row>
    <row r="77" spans="2:8" x14ac:dyDescent="0.25">
      <c r="B77" s="447"/>
      <c r="C77" s="439"/>
      <c r="D77" s="443"/>
      <c r="E77" s="443"/>
      <c r="F77" s="443" t="s">
        <v>178</v>
      </c>
      <c r="G77" s="456" t="e">
        <f>G74-G76</f>
        <v>#VALUE!</v>
      </c>
      <c r="H77" s="18"/>
    </row>
    <row r="78" spans="2:8" x14ac:dyDescent="0.25">
      <c r="B78" s="447"/>
      <c r="C78" s="439"/>
      <c r="D78" s="443"/>
      <c r="E78" s="443"/>
      <c r="F78" s="443" t="s">
        <v>27</v>
      </c>
      <c r="G78" s="456" t="e">
        <f>G77*0.05</f>
        <v>#VALUE!</v>
      </c>
      <c r="H78" s="18"/>
    </row>
    <row r="79" spans="2:8" ht="21" customHeight="1" thickBot="1" x14ac:dyDescent="0.4">
      <c r="B79" s="447"/>
      <c r="C79" s="439"/>
      <c r="D79" s="674" t="s">
        <v>179</v>
      </c>
      <c r="E79" s="674"/>
      <c r="F79" s="675"/>
      <c r="G79" s="458" t="e">
        <f>G77+G78</f>
        <v>#VALUE!</v>
      </c>
      <c r="H79" s="18"/>
    </row>
    <row r="80" spans="2:8" ht="15.75" thickBot="1" x14ac:dyDescent="0.3">
      <c r="B80" s="471"/>
      <c r="C80" s="457"/>
      <c r="D80" s="457"/>
      <c r="E80" s="457"/>
      <c r="F80" s="457"/>
      <c r="G80" s="472"/>
      <c r="H80" s="18"/>
    </row>
    <row r="81" spans="2:8" x14ac:dyDescent="0.25">
      <c r="B81" s="18"/>
      <c r="C81" s="18"/>
      <c r="D81" s="18"/>
      <c r="E81" s="18"/>
      <c r="F81" s="18"/>
      <c r="G81" s="18"/>
      <c r="H81" s="18"/>
    </row>
  </sheetData>
  <mergeCells count="17">
    <mergeCell ref="N8:O8"/>
    <mergeCell ref="E10:F10"/>
    <mergeCell ref="E11:F11"/>
    <mergeCell ref="A4:B4"/>
    <mergeCell ref="D74:F74"/>
    <mergeCell ref="B8:G8"/>
    <mergeCell ref="C3:F3"/>
    <mergeCell ref="D79:F79"/>
    <mergeCell ref="C65:D65"/>
    <mergeCell ref="C66:D66"/>
    <mergeCell ref="C67:D67"/>
    <mergeCell ref="C69:D69"/>
    <mergeCell ref="C70:D70"/>
    <mergeCell ref="C71:D71"/>
    <mergeCell ref="C72:D72"/>
    <mergeCell ref="C68:D68"/>
    <mergeCell ref="C73:D73"/>
  </mergeCells>
  <dataValidations count="3">
    <dataValidation type="list" allowBlank="1" showInputMessage="1" showErrorMessage="1" sqref="J15:J20 B15:B38 B40:B46 B48:B51 B59:B63" xr:uid="{B0E8F2F9-BBE6-4803-894C-27944F2F9ECB}">
      <formula1>$J$15:$J$20</formula1>
    </dataValidation>
    <dataValidation type="list" allowBlank="1" showInputMessage="1" showErrorMessage="1" sqref="K15:K20 R21 Q23:Q24 D40:D46" xr:uid="{3CA00A9D-68D0-4D90-9464-C3C1F065D413}">
      <formula1>$K$15:$K$20</formula1>
    </dataValidation>
    <dataValidation type="list" allowBlank="1" showInputMessage="1" showErrorMessage="1" sqref="O23 L15:L34 D15:D38" xr:uid="{DE997935-3A22-4E7D-BE4B-D5DEA757EF5B}">
      <formula1>$L$15:$L$34</formula1>
    </dataValidation>
  </dataValidations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62" r:id="rId4" name="Option Button 2">
              <controlPr defaultSize="0" autoFill="0" autoLine="0" autoPict="0" altText="">
                <anchor moveWithCells="1">
                  <from>
                    <xdr:col>0</xdr:col>
                    <xdr:colOff>0</xdr:colOff>
                    <xdr:row>2</xdr:row>
                    <xdr:rowOff>0</xdr:rowOff>
                  </from>
                  <to>
                    <xdr:col>1</xdr:col>
                    <xdr:colOff>9525</xdr:colOff>
                    <xdr:row>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3" r:id="rId5" name="Option Button 3">
              <controlPr defaultSize="0" autoFill="0" autoLine="0" autoPict="0">
                <anchor moveWithCells="1">
                  <from>
                    <xdr:col>0</xdr:col>
                    <xdr:colOff>0</xdr:colOff>
                    <xdr:row>2</xdr:row>
                    <xdr:rowOff>0</xdr:rowOff>
                  </from>
                  <to>
                    <xdr:col>1</xdr:col>
                    <xdr:colOff>9525</xdr:colOff>
                    <xdr:row>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4" r:id="rId6" name="Option Button 4">
              <controlPr defaultSize="0" autoFill="0" autoLine="0" autoPict="0">
                <anchor moveWithCells="1">
                  <from>
                    <xdr:col>0</xdr:col>
                    <xdr:colOff>0</xdr:colOff>
                    <xdr:row>2</xdr:row>
                    <xdr:rowOff>0</xdr:rowOff>
                  </from>
                  <to>
                    <xdr:col>1</xdr:col>
                    <xdr:colOff>19050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5" r:id="rId7" name="Option Button 5">
              <controlPr defaultSize="0" autoFill="0" autoLine="0" autoPict="0">
                <anchor moveWithCells="1">
                  <from>
                    <xdr:col>0</xdr:col>
                    <xdr:colOff>0</xdr:colOff>
                    <xdr:row>2</xdr:row>
                    <xdr:rowOff>0</xdr:rowOff>
                  </from>
                  <to>
                    <xdr:col>1</xdr:col>
                    <xdr:colOff>9525</xdr:colOff>
                    <xdr:row>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6" r:id="rId8" name="Option Button 6">
              <controlPr defaultSize="0" autoFill="0" autoLine="0" autoPict="0">
                <anchor moveWithCells="1">
                  <from>
                    <xdr:col>0</xdr:col>
                    <xdr:colOff>0</xdr:colOff>
                    <xdr:row>2</xdr:row>
                    <xdr:rowOff>0</xdr:rowOff>
                  </from>
                  <to>
                    <xdr:col>0</xdr:col>
                    <xdr:colOff>152400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7" r:id="rId9" name="Option Button 7">
              <controlPr defaultSize="0" autoFill="0" autoLine="0" autoPict="0">
                <anchor moveWithCells="1">
                  <from>
                    <xdr:col>0</xdr:col>
                    <xdr:colOff>0</xdr:colOff>
                    <xdr:row>2</xdr:row>
                    <xdr:rowOff>0</xdr:rowOff>
                  </from>
                  <to>
                    <xdr:col>1</xdr:col>
                    <xdr:colOff>9525</xdr:colOff>
                    <xdr:row>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8" r:id="rId10" name="Option Button 8">
              <controlPr defaultSize="0" autoFill="0" autoLine="0" autoPict="0">
                <anchor moveWithCells="1">
                  <from>
                    <xdr:col>0</xdr:col>
                    <xdr:colOff>0</xdr:colOff>
                    <xdr:row>2</xdr:row>
                    <xdr:rowOff>0</xdr:rowOff>
                  </from>
                  <to>
                    <xdr:col>1</xdr:col>
                    <xdr:colOff>19050</xdr:colOff>
                    <xdr:row>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9" r:id="rId11" name="Option Button 9">
              <controlPr defaultSize="0" autoFill="0" autoLine="0" autoPict="0">
                <anchor moveWithCells="1">
                  <from>
                    <xdr:col>0</xdr:col>
                    <xdr:colOff>0</xdr:colOff>
                    <xdr:row>2</xdr:row>
                    <xdr:rowOff>0</xdr:rowOff>
                  </from>
                  <to>
                    <xdr:col>1</xdr:col>
                    <xdr:colOff>38100</xdr:colOff>
                    <xdr:row>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70" r:id="rId12" name="Option Button 10">
              <controlPr defaultSize="0" autoFill="0" autoLine="0" autoPict="0">
                <anchor moveWithCells="1">
                  <from>
                    <xdr:col>0</xdr:col>
                    <xdr:colOff>0</xdr:colOff>
                    <xdr:row>2</xdr:row>
                    <xdr:rowOff>0</xdr:rowOff>
                  </from>
                  <to>
                    <xdr:col>1</xdr:col>
                    <xdr:colOff>38100</xdr:colOff>
                    <xdr:row>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71" r:id="rId13" name="Option Button 11">
              <controlPr defaultSize="0" autoFill="0" autoLine="0" autoPict="0">
                <anchor moveWithCells="1">
                  <from>
                    <xdr:col>0</xdr:col>
                    <xdr:colOff>0</xdr:colOff>
                    <xdr:row>2</xdr:row>
                    <xdr:rowOff>0</xdr:rowOff>
                  </from>
                  <to>
                    <xdr:col>1</xdr:col>
                    <xdr:colOff>9525</xdr:colOff>
                    <xdr:row>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72" r:id="rId14" name="Check Box 12">
              <controlPr defaultSize="0" autoFill="0" autoLine="0" autoPict="0">
                <anchor moveWithCells="1">
                  <from>
                    <xdr:col>0</xdr:col>
                    <xdr:colOff>0</xdr:colOff>
                    <xdr:row>2</xdr:row>
                    <xdr:rowOff>0</xdr:rowOff>
                  </from>
                  <to>
                    <xdr:col>1</xdr:col>
                    <xdr:colOff>57150</xdr:colOff>
                    <xdr:row>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73" r:id="rId15" name="Check Box 13">
              <controlPr defaultSize="0" autoFill="0" autoLine="0" autoPict="0">
                <anchor moveWithCells="1">
                  <from>
                    <xdr:col>0</xdr:col>
                    <xdr:colOff>0</xdr:colOff>
                    <xdr:row>2</xdr:row>
                    <xdr:rowOff>0</xdr:rowOff>
                  </from>
                  <to>
                    <xdr:col>0</xdr:col>
                    <xdr:colOff>152400</xdr:colOff>
                    <xdr:row>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74" r:id="rId16" name="Check Box 14">
              <controlPr defaultSize="0" autoFill="0" autoLine="0" autoPict="0">
                <anchor moveWithCells="1">
                  <from>
                    <xdr:col>0</xdr:col>
                    <xdr:colOff>0</xdr:colOff>
                    <xdr:row>2</xdr:row>
                    <xdr:rowOff>0</xdr:rowOff>
                  </from>
                  <to>
                    <xdr:col>1</xdr:col>
                    <xdr:colOff>38100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75" r:id="rId17" name="Check Box 15">
              <controlPr defaultSize="0" autoFill="0" autoLine="0" autoPict="0">
                <anchor moveWithCells="1">
                  <from>
                    <xdr:col>0</xdr:col>
                    <xdr:colOff>0</xdr:colOff>
                    <xdr:row>2</xdr:row>
                    <xdr:rowOff>0</xdr:rowOff>
                  </from>
                  <to>
                    <xdr:col>1</xdr:col>
                    <xdr:colOff>38100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76" r:id="rId18" name="Check Box 16">
              <controlPr defaultSize="0" autoFill="0" autoLine="0" autoPict="0">
                <anchor moveWithCells="1">
                  <from>
                    <xdr:col>0</xdr:col>
                    <xdr:colOff>0</xdr:colOff>
                    <xdr:row>2</xdr:row>
                    <xdr:rowOff>0</xdr:rowOff>
                  </from>
                  <to>
                    <xdr:col>1</xdr:col>
                    <xdr:colOff>38100</xdr:colOff>
                    <xdr:row>2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5101DA-4A3F-4C99-958F-1CA3D825B6D9}">
  <sheetPr codeName="Sheet29"/>
  <dimension ref="A5:X74"/>
  <sheetViews>
    <sheetView topLeftCell="E70" workbookViewId="0">
      <selection activeCell="O2" sqref="O2"/>
    </sheetView>
  </sheetViews>
  <sheetFormatPr defaultRowHeight="15" x14ac:dyDescent="0.25"/>
  <cols>
    <col min="1" max="1" width="16.85546875" bestFit="1" customWidth="1"/>
    <col min="2" max="2" width="15.7109375" bestFit="1" customWidth="1"/>
    <col min="4" max="4" width="10.7109375" bestFit="1" customWidth="1"/>
    <col min="6" max="6" width="16.85546875" bestFit="1" customWidth="1"/>
    <col min="7" max="7" width="15.7109375" bestFit="1" customWidth="1"/>
    <col min="9" max="9" width="10.7109375" bestFit="1" customWidth="1"/>
    <col min="11" max="11" width="16" bestFit="1" customWidth="1"/>
    <col min="12" max="12" width="21.5703125" bestFit="1" customWidth="1"/>
    <col min="14" max="14" width="10.7109375" bestFit="1" customWidth="1"/>
    <col min="16" max="16" width="16" bestFit="1" customWidth="1"/>
    <col min="17" max="17" width="21.5703125" bestFit="1" customWidth="1"/>
    <col min="19" max="19" width="10.7109375" bestFit="1" customWidth="1"/>
    <col min="21" max="21" width="16" bestFit="1" customWidth="1"/>
    <col min="22" max="22" width="21.5703125" bestFit="1" customWidth="1"/>
    <col min="24" max="24" width="10.7109375" bestFit="1" customWidth="1"/>
  </cols>
  <sheetData>
    <row r="5" spans="1:24" ht="15.75" thickBot="1" x14ac:dyDescent="0.3">
      <c r="A5">
        <v>0.125</v>
      </c>
      <c r="F5">
        <v>0.25</v>
      </c>
      <c r="K5" t="s">
        <v>411</v>
      </c>
      <c r="P5" t="s">
        <v>412</v>
      </c>
      <c r="U5" t="s">
        <v>413</v>
      </c>
    </row>
    <row r="6" spans="1:24" x14ac:dyDescent="0.25">
      <c r="A6" s="59" t="s">
        <v>129</v>
      </c>
      <c r="B6" s="54" t="s">
        <v>130</v>
      </c>
      <c r="C6" s="365"/>
      <c r="D6" s="54" t="s">
        <v>131</v>
      </c>
      <c r="F6" s="274" t="s">
        <v>129</v>
      </c>
      <c r="G6" s="289" t="s">
        <v>130</v>
      </c>
      <c r="H6" s="354"/>
      <c r="I6" s="289" t="s">
        <v>131</v>
      </c>
      <c r="K6" s="274" t="s">
        <v>129</v>
      </c>
      <c r="L6" s="289" t="s">
        <v>130</v>
      </c>
      <c r="M6" s="354"/>
      <c r="N6" s="289" t="s">
        <v>131</v>
      </c>
      <c r="P6" s="274" t="s">
        <v>129</v>
      </c>
      <c r="Q6" s="289" t="s">
        <v>130</v>
      </c>
      <c r="R6" s="354"/>
      <c r="S6" s="289" t="s">
        <v>131</v>
      </c>
      <c r="U6" s="274" t="s">
        <v>129</v>
      </c>
      <c r="V6" s="289" t="s">
        <v>130</v>
      </c>
      <c r="W6" s="354"/>
      <c r="X6" s="289" t="s">
        <v>131</v>
      </c>
    </row>
    <row r="7" spans="1:24" x14ac:dyDescent="0.25">
      <c r="A7" s="61" t="s">
        <v>134</v>
      </c>
      <c r="B7" s="363" t="s">
        <v>135</v>
      </c>
      <c r="C7" s="364"/>
      <c r="D7" s="62">
        <v>10</v>
      </c>
      <c r="F7" s="254" t="s">
        <v>134</v>
      </c>
      <c r="G7" s="287" t="s">
        <v>135</v>
      </c>
      <c r="H7" s="288"/>
      <c r="I7" s="213">
        <v>15</v>
      </c>
      <c r="K7" s="254" t="s">
        <v>134</v>
      </c>
      <c r="L7" s="287" t="s">
        <v>135</v>
      </c>
      <c r="M7" s="288"/>
      <c r="N7" s="213">
        <v>8.5</v>
      </c>
      <c r="P7" s="254" t="s">
        <v>134</v>
      </c>
      <c r="Q7" s="287" t="s">
        <v>135</v>
      </c>
      <c r="R7" s="288"/>
      <c r="S7" s="213">
        <v>8.5</v>
      </c>
      <c r="U7" s="254" t="s">
        <v>134</v>
      </c>
      <c r="V7" s="287" t="s">
        <v>135</v>
      </c>
      <c r="W7" s="288"/>
      <c r="X7" s="213">
        <v>7</v>
      </c>
    </row>
    <row r="8" spans="1:24" x14ac:dyDescent="0.25">
      <c r="A8" s="61" t="s">
        <v>134</v>
      </c>
      <c r="B8" s="363" t="s">
        <v>136</v>
      </c>
      <c r="C8" s="364"/>
      <c r="D8" s="62">
        <v>13</v>
      </c>
      <c r="F8" s="254" t="s">
        <v>134</v>
      </c>
      <c r="G8" s="287" t="s">
        <v>136</v>
      </c>
      <c r="H8" s="288"/>
      <c r="I8" s="213">
        <v>18</v>
      </c>
      <c r="K8" s="254" t="s">
        <v>134</v>
      </c>
      <c r="L8" s="287" t="s">
        <v>136</v>
      </c>
      <c r="M8" s="288"/>
      <c r="N8" s="213">
        <v>9.5</v>
      </c>
      <c r="P8" s="254" t="s">
        <v>134</v>
      </c>
      <c r="Q8" s="287" t="s">
        <v>136</v>
      </c>
      <c r="R8" s="288"/>
      <c r="S8" s="213">
        <v>9.5</v>
      </c>
      <c r="U8" s="254" t="s">
        <v>134</v>
      </c>
      <c r="V8" s="287" t="s">
        <v>136</v>
      </c>
      <c r="W8" s="288"/>
      <c r="X8" s="213">
        <v>7.5</v>
      </c>
    </row>
    <row r="9" spans="1:24" x14ac:dyDescent="0.25">
      <c r="A9" s="61" t="s">
        <v>134</v>
      </c>
      <c r="B9" s="363" t="s">
        <v>137</v>
      </c>
      <c r="C9" s="364"/>
      <c r="D9" s="62">
        <v>22.5</v>
      </c>
      <c r="F9" s="254" t="s">
        <v>134</v>
      </c>
      <c r="G9" s="287" t="s">
        <v>137</v>
      </c>
      <c r="H9" s="288"/>
      <c r="I9" s="213">
        <v>26.5</v>
      </c>
      <c r="K9" s="254" t="s">
        <v>134</v>
      </c>
      <c r="L9" s="287" t="s">
        <v>137</v>
      </c>
      <c r="M9" s="288"/>
      <c r="N9" s="213">
        <v>11</v>
      </c>
      <c r="P9" s="254" t="s">
        <v>134</v>
      </c>
      <c r="Q9" s="287" t="s">
        <v>137</v>
      </c>
      <c r="R9" s="288"/>
      <c r="S9" s="213">
        <v>11</v>
      </c>
      <c r="U9" s="254" t="s">
        <v>134</v>
      </c>
      <c r="V9" s="287" t="s">
        <v>137</v>
      </c>
      <c r="W9" s="288"/>
      <c r="X9" s="213">
        <v>9</v>
      </c>
    </row>
    <row r="10" spans="1:24" x14ac:dyDescent="0.25">
      <c r="A10" s="61" t="s">
        <v>134</v>
      </c>
      <c r="B10" s="363" t="s">
        <v>138</v>
      </c>
      <c r="C10" s="364"/>
      <c r="D10" s="62">
        <v>24.5</v>
      </c>
      <c r="F10" s="254" t="s">
        <v>134</v>
      </c>
      <c r="G10" s="287" t="s">
        <v>138</v>
      </c>
      <c r="H10" s="288"/>
      <c r="I10" s="213">
        <v>31</v>
      </c>
      <c r="K10" s="254" t="s">
        <v>134</v>
      </c>
      <c r="L10" s="287" t="s">
        <v>138</v>
      </c>
      <c r="M10" s="288"/>
      <c r="N10" s="213">
        <v>12.65</v>
      </c>
      <c r="P10" s="254" t="s">
        <v>134</v>
      </c>
      <c r="Q10" s="287" t="s">
        <v>138</v>
      </c>
      <c r="R10" s="288"/>
      <c r="S10" s="213">
        <v>12.65</v>
      </c>
      <c r="U10" s="254" t="s">
        <v>134</v>
      </c>
      <c r="V10" s="287" t="s">
        <v>138</v>
      </c>
      <c r="W10" s="288"/>
      <c r="X10" s="213">
        <v>10</v>
      </c>
    </row>
    <row r="11" spans="1:24" x14ac:dyDescent="0.25">
      <c r="A11" s="61" t="s">
        <v>134</v>
      </c>
      <c r="B11" s="363" t="s">
        <v>139</v>
      </c>
      <c r="C11" s="364"/>
      <c r="D11" s="62">
        <v>28.5</v>
      </c>
      <c r="F11" s="254" t="s">
        <v>134</v>
      </c>
      <c r="G11" s="287" t="s">
        <v>139</v>
      </c>
      <c r="H11" s="288"/>
      <c r="I11" s="213">
        <v>34</v>
      </c>
      <c r="K11" s="254" t="s">
        <v>134</v>
      </c>
      <c r="L11" s="287" t="s">
        <v>139</v>
      </c>
      <c r="M11" s="288"/>
      <c r="N11" s="213">
        <v>13.5</v>
      </c>
      <c r="P11" s="254" t="s">
        <v>134</v>
      </c>
      <c r="Q11" s="287" t="s">
        <v>139</v>
      </c>
      <c r="R11" s="288"/>
      <c r="S11" s="213">
        <v>13.5</v>
      </c>
      <c r="U11" s="254" t="s">
        <v>134</v>
      </c>
      <c r="V11" s="287" t="s">
        <v>139</v>
      </c>
      <c r="W11" s="288"/>
      <c r="X11" s="213">
        <v>11</v>
      </c>
    </row>
    <row r="12" spans="1:24" x14ac:dyDescent="0.25">
      <c r="A12" s="61" t="s">
        <v>134</v>
      </c>
      <c r="B12" s="363" t="s">
        <v>140</v>
      </c>
      <c r="C12" s="364"/>
      <c r="D12" s="62">
        <v>32.5</v>
      </c>
      <c r="F12" s="254" t="s">
        <v>134</v>
      </c>
      <c r="G12" s="287" t="s">
        <v>140</v>
      </c>
      <c r="H12" s="288"/>
      <c r="I12" s="213">
        <v>43</v>
      </c>
      <c r="K12" s="254" t="s">
        <v>134</v>
      </c>
      <c r="L12" s="287" t="s">
        <v>140</v>
      </c>
      <c r="M12" s="288"/>
      <c r="N12" s="213">
        <v>15.5</v>
      </c>
      <c r="P12" s="254" t="s">
        <v>134</v>
      </c>
      <c r="Q12" s="287" t="s">
        <v>140</v>
      </c>
      <c r="R12" s="288"/>
      <c r="S12" s="213">
        <v>15.5</v>
      </c>
      <c r="U12" s="254" t="s">
        <v>134</v>
      </c>
      <c r="V12" s="287" t="s">
        <v>140</v>
      </c>
      <c r="W12" s="288"/>
      <c r="X12" s="213">
        <v>12</v>
      </c>
    </row>
    <row r="13" spans="1:24" x14ac:dyDescent="0.25">
      <c r="A13" s="61" t="s">
        <v>134</v>
      </c>
      <c r="B13" s="363" t="s">
        <v>141</v>
      </c>
      <c r="C13" s="364"/>
      <c r="D13" s="62">
        <v>34.5</v>
      </c>
      <c r="F13" s="254" t="s">
        <v>134</v>
      </c>
      <c r="G13" s="287" t="s">
        <v>141</v>
      </c>
      <c r="H13" s="288"/>
      <c r="I13" s="213">
        <v>45</v>
      </c>
      <c r="K13" s="254" t="s">
        <v>134</v>
      </c>
      <c r="L13" s="287" t="s">
        <v>141</v>
      </c>
      <c r="M13" s="288"/>
      <c r="N13" s="213">
        <v>18.5</v>
      </c>
      <c r="P13" s="254" t="s">
        <v>134</v>
      </c>
      <c r="Q13" s="287" t="s">
        <v>141</v>
      </c>
      <c r="R13" s="288"/>
      <c r="S13" s="213">
        <v>18.5</v>
      </c>
      <c r="U13" s="254" t="s">
        <v>134</v>
      </c>
      <c r="V13" s="287" t="s">
        <v>141</v>
      </c>
      <c r="W13" s="288"/>
      <c r="X13" s="213">
        <v>13.5</v>
      </c>
    </row>
    <row r="14" spans="1:24" x14ac:dyDescent="0.25">
      <c r="A14" s="61" t="s">
        <v>134</v>
      </c>
      <c r="B14" s="363" t="s">
        <v>142</v>
      </c>
      <c r="C14" s="364"/>
      <c r="D14" s="62">
        <v>43.5</v>
      </c>
      <c r="F14" s="254" t="s">
        <v>134</v>
      </c>
      <c r="G14" s="287" t="s">
        <v>142</v>
      </c>
      <c r="H14" s="288"/>
      <c r="I14" s="213">
        <v>52.5</v>
      </c>
      <c r="K14" s="254" t="s">
        <v>134</v>
      </c>
      <c r="L14" s="287" t="s">
        <v>142</v>
      </c>
      <c r="M14" s="288"/>
      <c r="N14" s="213">
        <v>24.5</v>
      </c>
      <c r="P14" s="254" t="s">
        <v>134</v>
      </c>
      <c r="Q14" s="287" t="s">
        <v>142</v>
      </c>
      <c r="R14" s="288"/>
      <c r="S14" s="213">
        <v>24.5</v>
      </c>
      <c r="U14" s="254" t="s">
        <v>134</v>
      </c>
      <c r="V14" s="287" t="s">
        <v>142</v>
      </c>
      <c r="W14" s="288"/>
      <c r="X14" s="213">
        <v>18</v>
      </c>
    </row>
    <row r="15" spans="1:24" x14ac:dyDescent="0.25">
      <c r="A15" s="61" t="s">
        <v>134</v>
      </c>
      <c r="B15" s="363" t="s">
        <v>143</v>
      </c>
      <c r="C15" s="364"/>
      <c r="D15" s="62">
        <v>51.5</v>
      </c>
      <c r="F15" s="254" t="s">
        <v>134</v>
      </c>
      <c r="G15" s="287" t="s">
        <v>143</v>
      </c>
      <c r="H15" s="288"/>
      <c r="I15" s="213">
        <v>57.5</v>
      </c>
      <c r="K15" s="254" t="s">
        <v>134</v>
      </c>
      <c r="L15" s="287" t="s">
        <v>143</v>
      </c>
      <c r="M15" s="288"/>
      <c r="N15" s="213">
        <v>31.25</v>
      </c>
      <c r="P15" s="254" t="s">
        <v>134</v>
      </c>
      <c r="Q15" s="287" t="s">
        <v>143</v>
      </c>
      <c r="R15" s="288"/>
      <c r="S15" s="213">
        <v>31.25</v>
      </c>
      <c r="U15" s="254" t="s">
        <v>134</v>
      </c>
      <c r="V15" s="287" t="s">
        <v>143</v>
      </c>
      <c r="W15" s="288"/>
      <c r="X15" s="213">
        <v>23</v>
      </c>
    </row>
    <row r="16" spans="1:24" x14ac:dyDescent="0.25">
      <c r="A16" s="61" t="s">
        <v>134</v>
      </c>
      <c r="B16" s="363" t="s">
        <v>144</v>
      </c>
      <c r="C16" s="364"/>
      <c r="D16" s="62">
        <v>63</v>
      </c>
      <c r="F16" s="254" t="s">
        <v>134</v>
      </c>
      <c r="G16" s="287" t="s">
        <v>144</v>
      </c>
      <c r="H16" s="288"/>
      <c r="I16" s="213">
        <v>68</v>
      </c>
      <c r="K16" s="254" t="s">
        <v>134</v>
      </c>
      <c r="L16" s="287" t="s">
        <v>144</v>
      </c>
      <c r="M16" s="288"/>
      <c r="N16" s="213">
        <v>41</v>
      </c>
      <c r="P16" s="254" t="s">
        <v>134</v>
      </c>
      <c r="Q16" s="287" t="s">
        <v>144</v>
      </c>
      <c r="R16" s="288"/>
      <c r="S16" s="213">
        <v>41</v>
      </c>
      <c r="U16" s="254" t="s">
        <v>134</v>
      </c>
      <c r="V16" s="287" t="s">
        <v>144</v>
      </c>
      <c r="W16" s="288"/>
      <c r="X16" s="213">
        <v>29</v>
      </c>
    </row>
    <row r="17" spans="1:24" x14ac:dyDescent="0.25">
      <c r="A17" s="61" t="s">
        <v>134</v>
      </c>
      <c r="B17" s="363" t="s">
        <v>145</v>
      </c>
      <c r="C17" s="364"/>
      <c r="D17" s="62">
        <v>80</v>
      </c>
      <c r="F17" s="254" t="s">
        <v>134</v>
      </c>
      <c r="G17" s="287" t="s">
        <v>145</v>
      </c>
      <c r="H17" s="288"/>
      <c r="I17" s="213">
        <v>79</v>
      </c>
      <c r="K17" s="254" t="s">
        <v>134</v>
      </c>
      <c r="L17" s="287" t="s">
        <v>145</v>
      </c>
      <c r="M17" s="288"/>
      <c r="N17" s="213">
        <v>49</v>
      </c>
      <c r="P17" s="254" t="s">
        <v>134</v>
      </c>
      <c r="Q17" s="287" t="s">
        <v>145</v>
      </c>
      <c r="R17" s="288"/>
      <c r="S17" s="213">
        <v>49</v>
      </c>
      <c r="U17" s="254" t="s">
        <v>134</v>
      </c>
      <c r="V17" s="287" t="s">
        <v>145</v>
      </c>
      <c r="W17" s="288"/>
      <c r="X17" s="213">
        <v>36</v>
      </c>
    </row>
    <row r="18" spans="1:24" x14ac:dyDescent="0.25">
      <c r="A18" s="61" t="s">
        <v>134</v>
      </c>
      <c r="B18" s="363" t="s">
        <v>146</v>
      </c>
      <c r="C18" s="364"/>
      <c r="D18" s="62">
        <v>93</v>
      </c>
      <c r="F18" s="254" t="s">
        <v>134</v>
      </c>
      <c r="G18" s="287" t="s">
        <v>146</v>
      </c>
      <c r="H18" s="288"/>
      <c r="I18" s="213">
        <v>86</v>
      </c>
      <c r="K18" s="254" t="s">
        <v>134</v>
      </c>
      <c r="L18" s="287" t="s">
        <v>146</v>
      </c>
      <c r="M18" s="288"/>
      <c r="N18" s="213">
        <v>57</v>
      </c>
      <c r="P18" s="254" t="s">
        <v>134</v>
      </c>
      <c r="Q18" s="287" t="s">
        <v>146</v>
      </c>
      <c r="R18" s="288"/>
      <c r="S18" s="213">
        <v>57</v>
      </c>
      <c r="U18" s="254" t="s">
        <v>134</v>
      </c>
      <c r="V18" s="287" t="s">
        <v>146</v>
      </c>
      <c r="W18" s="288"/>
      <c r="X18" s="213">
        <v>42.5</v>
      </c>
    </row>
    <row r="19" spans="1:24" x14ac:dyDescent="0.25">
      <c r="A19" s="61" t="s">
        <v>134</v>
      </c>
      <c r="B19" s="363" t="s">
        <v>147</v>
      </c>
      <c r="C19" s="364"/>
      <c r="D19" s="62">
        <v>103</v>
      </c>
      <c r="F19" s="254" t="s">
        <v>134</v>
      </c>
      <c r="G19" s="287" t="s">
        <v>147</v>
      </c>
      <c r="H19" s="288"/>
      <c r="I19" s="213">
        <v>110</v>
      </c>
      <c r="K19" s="254" t="s">
        <v>134</v>
      </c>
      <c r="L19" s="287" t="s">
        <v>147</v>
      </c>
      <c r="M19" s="288"/>
      <c r="N19" s="213">
        <v>66</v>
      </c>
      <c r="P19" s="254" t="s">
        <v>134</v>
      </c>
      <c r="Q19" s="287" t="s">
        <v>147</v>
      </c>
      <c r="R19" s="288"/>
      <c r="S19" s="213">
        <v>66</v>
      </c>
      <c r="U19" s="254" t="s">
        <v>134</v>
      </c>
      <c r="V19" s="287" t="s">
        <v>147</v>
      </c>
      <c r="W19" s="288"/>
      <c r="X19" s="213">
        <v>49</v>
      </c>
    </row>
    <row r="20" spans="1:24" x14ac:dyDescent="0.25">
      <c r="A20" s="61" t="s">
        <v>134</v>
      </c>
      <c r="B20" s="363" t="s">
        <v>148</v>
      </c>
      <c r="C20" s="364"/>
      <c r="D20" s="62">
        <v>114</v>
      </c>
      <c r="F20" s="254" t="s">
        <v>134</v>
      </c>
      <c r="G20" s="287" t="s">
        <v>148</v>
      </c>
      <c r="H20" s="288"/>
      <c r="I20" s="213">
        <v>145</v>
      </c>
      <c r="K20" s="254" t="s">
        <v>134</v>
      </c>
      <c r="L20" s="287" t="s">
        <v>148</v>
      </c>
      <c r="M20" s="288"/>
      <c r="N20" s="213">
        <v>87</v>
      </c>
      <c r="P20" s="254" t="s">
        <v>134</v>
      </c>
      <c r="Q20" s="287" t="s">
        <v>148</v>
      </c>
      <c r="R20" s="288"/>
      <c r="S20" s="213">
        <v>87</v>
      </c>
      <c r="U20" s="254" t="s">
        <v>134</v>
      </c>
      <c r="V20" s="287" t="s">
        <v>148</v>
      </c>
      <c r="W20" s="288"/>
      <c r="X20" s="213">
        <v>65</v>
      </c>
    </row>
    <row r="21" spans="1:24" x14ac:dyDescent="0.25">
      <c r="A21" s="61" t="s">
        <v>134</v>
      </c>
      <c r="B21" s="363" t="s">
        <v>149</v>
      </c>
      <c r="C21" s="364"/>
      <c r="D21" s="62">
        <v>125</v>
      </c>
      <c r="F21" s="254" t="s">
        <v>134</v>
      </c>
      <c r="G21" s="287" t="s">
        <v>149</v>
      </c>
      <c r="H21" s="288"/>
      <c r="I21" s="213">
        <v>175</v>
      </c>
      <c r="K21" s="254" t="s">
        <v>134</v>
      </c>
      <c r="L21" s="287" t="s">
        <v>149</v>
      </c>
      <c r="M21" s="288"/>
      <c r="N21" s="213">
        <v>93.5</v>
      </c>
      <c r="P21" s="254" t="s">
        <v>134</v>
      </c>
      <c r="Q21" s="287" t="s">
        <v>149</v>
      </c>
      <c r="R21" s="288"/>
      <c r="S21" s="213">
        <v>93.5</v>
      </c>
      <c r="U21" s="254" t="s">
        <v>134</v>
      </c>
      <c r="V21" s="287" t="s">
        <v>149</v>
      </c>
      <c r="W21" s="288"/>
      <c r="X21" s="213">
        <v>70</v>
      </c>
    </row>
    <row r="22" spans="1:24" x14ac:dyDescent="0.25">
      <c r="A22" s="61" t="s">
        <v>184</v>
      </c>
      <c r="B22" s="363" t="s">
        <v>185</v>
      </c>
      <c r="C22" s="364"/>
      <c r="D22" s="62">
        <v>7.5</v>
      </c>
      <c r="F22" s="254" t="s">
        <v>184</v>
      </c>
      <c r="G22" s="287" t="s">
        <v>185</v>
      </c>
      <c r="H22" s="288"/>
      <c r="I22" s="213">
        <v>8</v>
      </c>
      <c r="K22" s="254" t="s">
        <v>134</v>
      </c>
      <c r="L22" s="287" t="s">
        <v>150</v>
      </c>
      <c r="M22" s="288"/>
      <c r="N22" s="213">
        <v>107</v>
      </c>
      <c r="P22" s="254" t="s">
        <v>134</v>
      </c>
      <c r="Q22" s="287" t="s">
        <v>150</v>
      </c>
      <c r="R22" s="288"/>
      <c r="S22" s="213">
        <v>107</v>
      </c>
      <c r="U22" s="254" t="s">
        <v>134</v>
      </c>
      <c r="V22" s="287" t="s">
        <v>150</v>
      </c>
      <c r="W22" s="288"/>
      <c r="X22" s="213">
        <v>80</v>
      </c>
    </row>
    <row r="23" spans="1:24" x14ac:dyDescent="0.25">
      <c r="A23" s="61" t="s">
        <v>184</v>
      </c>
      <c r="B23" s="363" t="s">
        <v>186</v>
      </c>
      <c r="C23" s="364"/>
      <c r="D23" s="62">
        <v>10</v>
      </c>
      <c r="F23" s="254" t="s">
        <v>184</v>
      </c>
      <c r="G23" s="287" t="s">
        <v>186</v>
      </c>
      <c r="H23" s="288"/>
      <c r="I23" s="213">
        <v>10.5</v>
      </c>
      <c r="K23" s="254" t="s">
        <v>134</v>
      </c>
      <c r="L23" s="287" t="s">
        <v>151</v>
      </c>
      <c r="M23" s="288"/>
      <c r="N23" s="213">
        <v>120</v>
      </c>
      <c r="P23" s="254" t="s">
        <v>134</v>
      </c>
      <c r="Q23" s="287" t="s">
        <v>151</v>
      </c>
      <c r="R23" s="288"/>
      <c r="S23" s="213">
        <v>120</v>
      </c>
      <c r="U23" s="254" t="s">
        <v>134</v>
      </c>
      <c r="V23" s="287" t="s">
        <v>151</v>
      </c>
      <c r="W23" s="288"/>
      <c r="X23" s="213">
        <v>86</v>
      </c>
    </row>
    <row r="24" spans="1:24" x14ac:dyDescent="0.25">
      <c r="A24" s="61" t="s">
        <v>184</v>
      </c>
      <c r="B24" s="363" t="s">
        <v>187</v>
      </c>
      <c r="C24" s="364"/>
      <c r="D24" s="62">
        <v>13</v>
      </c>
      <c r="F24" s="254" t="s">
        <v>184</v>
      </c>
      <c r="G24" s="287" t="s">
        <v>187</v>
      </c>
      <c r="H24" s="288"/>
      <c r="I24" s="213">
        <v>14</v>
      </c>
      <c r="K24" s="254" t="s">
        <v>134</v>
      </c>
      <c r="L24" s="287" t="s">
        <v>152</v>
      </c>
      <c r="M24" s="288"/>
      <c r="N24" s="213">
        <v>129</v>
      </c>
      <c r="P24" s="254" t="s">
        <v>134</v>
      </c>
      <c r="Q24" s="287" t="s">
        <v>152</v>
      </c>
      <c r="R24" s="288"/>
      <c r="S24" s="213">
        <v>129</v>
      </c>
      <c r="U24" s="254" t="s">
        <v>134</v>
      </c>
      <c r="V24" s="287" t="s">
        <v>152</v>
      </c>
      <c r="W24" s="288"/>
      <c r="X24" s="213">
        <v>95</v>
      </c>
    </row>
    <row r="25" spans="1:24" x14ac:dyDescent="0.25">
      <c r="A25" s="61" t="s">
        <v>184</v>
      </c>
      <c r="B25" s="363" t="s">
        <v>188</v>
      </c>
      <c r="C25" s="364"/>
      <c r="D25" s="62">
        <v>18</v>
      </c>
      <c r="F25" s="254" t="s">
        <v>184</v>
      </c>
      <c r="G25" s="287" t="s">
        <v>188</v>
      </c>
      <c r="H25" s="288"/>
      <c r="I25" s="213">
        <v>20</v>
      </c>
      <c r="K25" s="254" t="s">
        <v>134</v>
      </c>
      <c r="L25" s="287" t="s">
        <v>153</v>
      </c>
      <c r="M25" s="288"/>
      <c r="N25" s="213">
        <v>165</v>
      </c>
      <c r="P25" s="254" t="s">
        <v>134</v>
      </c>
      <c r="Q25" s="287" t="s">
        <v>153</v>
      </c>
      <c r="R25" s="288"/>
      <c r="S25" s="213">
        <v>165</v>
      </c>
      <c r="U25" s="254" t="s">
        <v>134</v>
      </c>
      <c r="V25" s="287" t="s">
        <v>153</v>
      </c>
      <c r="W25" s="288"/>
      <c r="X25" s="213">
        <v>120</v>
      </c>
    </row>
    <row r="26" spans="1:24" ht="15" customHeight="1" x14ac:dyDescent="0.25">
      <c r="A26" s="61" t="s">
        <v>184</v>
      </c>
      <c r="B26" s="363" t="s">
        <v>189</v>
      </c>
      <c r="C26" s="364"/>
      <c r="D26" s="62">
        <v>25</v>
      </c>
      <c r="F26" s="254" t="s">
        <v>184</v>
      </c>
      <c r="G26" s="287" t="s">
        <v>189</v>
      </c>
      <c r="H26" s="288"/>
      <c r="I26" s="213">
        <v>25</v>
      </c>
      <c r="K26" s="254" t="s">
        <v>157</v>
      </c>
      <c r="L26" s="287" t="s">
        <v>158</v>
      </c>
      <c r="M26" s="288"/>
      <c r="N26" s="213">
        <v>0.75</v>
      </c>
      <c r="P26" s="254" t="s">
        <v>157</v>
      </c>
      <c r="Q26" s="287" t="s">
        <v>158</v>
      </c>
      <c r="R26" s="288"/>
      <c r="S26" s="213">
        <v>0.75</v>
      </c>
      <c r="U26" s="254" t="s">
        <v>157</v>
      </c>
      <c r="V26" s="287" t="s">
        <v>158</v>
      </c>
      <c r="W26" s="288"/>
      <c r="X26" s="213">
        <v>1.25</v>
      </c>
    </row>
    <row r="27" spans="1:24" ht="15" customHeight="1" x14ac:dyDescent="0.25">
      <c r="A27" s="63" t="s">
        <v>154</v>
      </c>
      <c r="B27" s="368" t="s">
        <v>155</v>
      </c>
      <c r="C27" s="369"/>
      <c r="D27" s="64" t="s">
        <v>156</v>
      </c>
      <c r="F27" s="257" t="s">
        <v>154</v>
      </c>
      <c r="G27" s="290" t="s">
        <v>155</v>
      </c>
      <c r="H27" s="291"/>
      <c r="I27" s="245" t="s">
        <v>156</v>
      </c>
      <c r="K27" s="257" t="s">
        <v>154</v>
      </c>
      <c r="L27" s="290" t="s">
        <v>155</v>
      </c>
      <c r="M27" s="291"/>
      <c r="N27" s="245" t="s">
        <v>156</v>
      </c>
      <c r="P27" s="257" t="s">
        <v>154</v>
      </c>
      <c r="Q27" s="290" t="s">
        <v>155</v>
      </c>
      <c r="R27" s="291"/>
      <c r="S27" s="245" t="s">
        <v>156</v>
      </c>
      <c r="U27" s="257" t="s">
        <v>154</v>
      </c>
      <c r="V27" s="290" t="s">
        <v>155</v>
      </c>
      <c r="W27" s="291"/>
      <c r="X27" s="245" t="s">
        <v>156</v>
      </c>
    </row>
    <row r="28" spans="1:24" ht="15" customHeight="1" x14ac:dyDescent="0.25">
      <c r="A28" s="61" t="s">
        <v>159</v>
      </c>
      <c r="B28" s="363" t="s">
        <v>190</v>
      </c>
      <c r="C28" s="364"/>
      <c r="D28" s="62">
        <v>2</v>
      </c>
      <c r="F28" s="254" t="s">
        <v>159</v>
      </c>
      <c r="G28" s="287" t="s">
        <v>190</v>
      </c>
      <c r="H28" s="288"/>
      <c r="I28" s="213">
        <v>2.2000000000000002</v>
      </c>
      <c r="K28" s="254" t="s">
        <v>159</v>
      </c>
      <c r="L28" s="287" t="s">
        <v>160</v>
      </c>
      <c r="M28" s="288"/>
      <c r="N28" s="213">
        <v>2</v>
      </c>
      <c r="P28" s="254" t="s">
        <v>159</v>
      </c>
      <c r="Q28" s="287" t="s">
        <v>160</v>
      </c>
      <c r="R28" s="288"/>
      <c r="S28" s="213">
        <v>2</v>
      </c>
      <c r="U28" s="254" t="s">
        <v>159</v>
      </c>
      <c r="V28" s="287" t="s">
        <v>160</v>
      </c>
      <c r="W28" s="288"/>
      <c r="X28" s="213">
        <v>2.5</v>
      </c>
    </row>
    <row r="29" spans="1:24" x14ac:dyDescent="0.25">
      <c r="A29" s="61" t="s">
        <v>161</v>
      </c>
      <c r="B29" s="363" t="s">
        <v>162</v>
      </c>
      <c r="C29" s="364"/>
      <c r="D29" s="62">
        <v>2.5</v>
      </c>
      <c r="F29" s="254" t="s">
        <v>161</v>
      </c>
      <c r="G29" s="287" t="s">
        <v>162</v>
      </c>
      <c r="H29" s="288"/>
      <c r="I29" s="213">
        <v>4.5</v>
      </c>
      <c r="K29" s="254" t="s">
        <v>161</v>
      </c>
      <c r="L29" s="287" t="s">
        <v>162</v>
      </c>
      <c r="M29" s="288"/>
      <c r="N29" s="213">
        <v>2.5</v>
      </c>
      <c r="P29" s="254" t="s">
        <v>161</v>
      </c>
      <c r="Q29" s="287" t="s">
        <v>162</v>
      </c>
      <c r="R29" s="288"/>
      <c r="S29" s="213">
        <v>2.5</v>
      </c>
      <c r="U29" s="254" t="s">
        <v>161</v>
      </c>
      <c r="V29" s="287" t="s">
        <v>162</v>
      </c>
      <c r="W29" s="288"/>
      <c r="X29" s="213">
        <v>4</v>
      </c>
    </row>
    <row r="30" spans="1:24" ht="15" customHeight="1" x14ac:dyDescent="0.25"/>
    <row r="33" spans="1:24" x14ac:dyDescent="0.25">
      <c r="A33" s="56" t="s">
        <v>163</v>
      </c>
      <c r="B33" s="370" t="s">
        <v>191</v>
      </c>
      <c r="C33" s="371"/>
      <c r="D33" s="60" t="s">
        <v>156</v>
      </c>
      <c r="F33" s="230" t="s">
        <v>163</v>
      </c>
      <c r="G33" s="357" t="s">
        <v>191</v>
      </c>
      <c r="H33" s="358"/>
      <c r="I33" s="222" t="s">
        <v>156</v>
      </c>
      <c r="K33" s="230" t="s">
        <v>163</v>
      </c>
      <c r="L33" s="357" t="s">
        <v>164</v>
      </c>
      <c r="M33" s="358"/>
      <c r="N33" s="222" t="s">
        <v>156</v>
      </c>
      <c r="P33" s="230" t="s">
        <v>163</v>
      </c>
      <c r="Q33" s="357" t="s">
        <v>164</v>
      </c>
      <c r="R33" s="358"/>
      <c r="S33" s="222" t="s">
        <v>156</v>
      </c>
      <c r="U33" s="230" t="s">
        <v>163</v>
      </c>
      <c r="V33" s="357" t="s">
        <v>164</v>
      </c>
      <c r="W33" s="358"/>
      <c r="X33" s="222" t="s">
        <v>156</v>
      </c>
    </row>
    <row r="34" spans="1:24" x14ac:dyDescent="0.25">
      <c r="A34" s="61" t="s">
        <v>192</v>
      </c>
      <c r="B34" s="363">
        <v>0.125</v>
      </c>
      <c r="C34" s="364"/>
      <c r="D34" s="62">
        <v>175</v>
      </c>
      <c r="F34" s="254" t="s">
        <v>192</v>
      </c>
      <c r="G34" s="376" t="s">
        <v>364</v>
      </c>
      <c r="H34" s="288"/>
      <c r="I34" s="213">
        <v>500</v>
      </c>
      <c r="K34" s="254" t="s">
        <v>165</v>
      </c>
      <c r="L34" s="287"/>
      <c r="M34" s="288"/>
      <c r="N34" s="213">
        <v>200</v>
      </c>
      <c r="P34" s="254" t="s">
        <v>165</v>
      </c>
      <c r="Q34" s="287"/>
      <c r="R34" s="288"/>
      <c r="S34" s="213">
        <v>100</v>
      </c>
      <c r="U34" s="254" t="s">
        <v>165</v>
      </c>
      <c r="V34" s="287"/>
      <c r="W34" s="288"/>
      <c r="X34" s="213">
        <v>115</v>
      </c>
    </row>
    <row r="35" spans="1:24" ht="15" customHeight="1" x14ac:dyDescent="0.25">
      <c r="A35" s="61" t="s">
        <v>166</v>
      </c>
      <c r="B35" s="363"/>
      <c r="C35" s="364"/>
      <c r="D35" s="62">
        <v>30</v>
      </c>
      <c r="F35" s="254" t="s">
        <v>166</v>
      </c>
      <c r="G35" s="287"/>
      <c r="H35" s="288"/>
      <c r="I35" s="213">
        <v>40</v>
      </c>
      <c r="K35" s="254" t="s">
        <v>166</v>
      </c>
      <c r="L35" s="287"/>
      <c r="M35" s="288"/>
      <c r="N35" s="213">
        <v>35</v>
      </c>
      <c r="P35" s="254" t="s">
        <v>166</v>
      </c>
      <c r="Q35" s="287"/>
      <c r="R35" s="288"/>
      <c r="S35" s="213">
        <v>30</v>
      </c>
      <c r="U35" s="254" t="s">
        <v>166</v>
      </c>
      <c r="V35" s="287"/>
      <c r="W35" s="288"/>
      <c r="X35" s="213">
        <v>40</v>
      </c>
    </row>
    <row r="36" spans="1:24" x14ac:dyDescent="0.25">
      <c r="A36" s="68" t="s">
        <v>167</v>
      </c>
      <c r="B36" s="69"/>
      <c r="C36" s="70"/>
      <c r="D36" s="62"/>
      <c r="F36" s="330" t="s">
        <v>167</v>
      </c>
      <c r="G36" s="329"/>
      <c r="H36" s="328"/>
      <c r="I36" s="213"/>
      <c r="K36" s="330" t="s">
        <v>167</v>
      </c>
      <c r="L36" s="329"/>
      <c r="M36" s="328"/>
      <c r="N36" s="213"/>
      <c r="P36" s="330" t="s">
        <v>167</v>
      </c>
      <c r="Q36" s="329"/>
      <c r="R36" s="328"/>
      <c r="S36" s="213"/>
      <c r="U36" s="330" t="s">
        <v>167</v>
      </c>
      <c r="V36" s="329"/>
      <c r="W36" s="328"/>
      <c r="X36" s="213"/>
    </row>
    <row r="37" spans="1:24" ht="15" customHeight="1" x14ac:dyDescent="0.25">
      <c r="A37" s="68"/>
      <c r="B37" s="69"/>
      <c r="C37" s="70"/>
      <c r="D37" s="62"/>
      <c r="F37" s="330"/>
      <c r="G37" s="329"/>
      <c r="H37" s="328"/>
      <c r="I37" s="213"/>
      <c r="K37" s="330"/>
      <c r="L37" s="329"/>
      <c r="M37" s="328"/>
      <c r="N37" s="213"/>
      <c r="P37" s="330"/>
      <c r="Q37" s="329"/>
      <c r="R37" s="328"/>
      <c r="S37" s="213"/>
      <c r="U37" s="330"/>
      <c r="V37" s="329"/>
      <c r="W37" s="328"/>
      <c r="X37" s="213"/>
    </row>
    <row r="38" spans="1:24" x14ac:dyDescent="0.25">
      <c r="A38" s="71" t="s">
        <v>168</v>
      </c>
      <c r="B38" s="372" t="s">
        <v>169</v>
      </c>
      <c r="C38" s="373"/>
      <c r="D38" s="66"/>
      <c r="F38" s="327" t="s">
        <v>168</v>
      </c>
      <c r="G38" s="359" t="s">
        <v>169</v>
      </c>
      <c r="H38" s="360"/>
      <c r="I38" s="326"/>
      <c r="K38" s="327" t="s">
        <v>168</v>
      </c>
      <c r="L38" s="359" t="s">
        <v>169</v>
      </c>
      <c r="M38" s="360"/>
      <c r="N38" s="326"/>
      <c r="P38" s="327" t="s">
        <v>168</v>
      </c>
      <c r="Q38" s="359" t="s">
        <v>169</v>
      </c>
      <c r="R38" s="360"/>
      <c r="S38" s="326"/>
      <c r="U38" s="327" t="s">
        <v>168</v>
      </c>
      <c r="V38" s="359" t="s">
        <v>169</v>
      </c>
      <c r="W38" s="360"/>
      <c r="X38" s="326"/>
    </row>
    <row r="39" spans="1:24" ht="15" customHeight="1" x14ac:dyDescent="0.25">
      <c r="A39" s="73"/>
      <c r="B39" s="366"/>
      <c r="C39" s="367"/>
      <c r="D39" s="67"/>
      <c r="F39" s="323"/>
      <c r="G39" s="361"/>
      <c r="H39" s="362"/>
      <c r="I39" s="255"/>
      <c r="K39" s="323" t="s">
        <v>170</v>
      </c>
      <c r="L39" s="361"/>
      <c r="M39" s="362"/>
      <c r="N39" s="255">
        <v>75</v>
      </c>
      <c r="P39" s="323" t="s">
        <v>170</v>
      </c>
      <c r="Q39" s="361"/>
      <c r="R39" s="362"/>
      <c r="S39" s="255">
        <v>75</v>
      </c>
      <c r="U39" s="230" t="s">
        <v>170</v>
      </c>
      <c r="V39" s="357"/>
      <c r="W39" s="358"/>
      <c r="X39" s="222">
        <v>75</v>
      </c>
    </row>
    <row r="40" spans="1:24" x14ac:dyDescent="0.25">
      <c r="A40" s="56" t="s">
        <v>171</v>
      </c>
      <c r="B40" s="374" t="s">
        <v>172</v>
      </c>
      <c r="C40" s="375"/>
      <c r="D40" s="60"/>
      <c r="F40" s="230" t="s">
        <v>171</v>
      </c>
      <c r="G40" s="355" t="s">
        <v>172</v>
      </c>
      <c r="H40" s="356"/>
      <c r="I40" s="222"/>
      <c r="K40" s="230" t="s">
        <v>171</v>
      </c>
      <c r="L40" s="355" t="s">
        <v>172</v>
      </c>
      <c r="M40" s="356"/>
      <c r="N40" s="222"/>
      <c r="P40" s="230" t="s">
        <v>171</v>
      </c>
      <c r="Q40" s="355" t="s">
        <v>172</v>
      </c>
      <c r="R40" s="356"/>
      <c r="S40" s="222"/>
      <c r="U40" s="230" t="s">
        <v>171</v>
      </c>
      <c r="V40" s="355" t="s">
        <v>172</v>
      </c>
      <c r="W40" s="356"/>
      <c r="X40" s="222"/>
    </row>
    <row r="41" spans="1:24" x14ac:dyDescent="0.25">
      <c r="A41" s="61" t="s">
        <v>171</v>
      </c>
      <c r="B41" s="363" t="s">
        <v>173</v>
      </c>
      <c r="C41" s="364"/>
      <c r="D41" s="62">
        <v>90</v>
      </c>
      <c r="F41" s="254" t="s">
        <v>171</v>
      </c>
      <c r="G41" s="287" t="s">
        <v>173</v>
      </c>
      <c r="H41" s="288"/>
      <c r="I41" s="213">
        <v>115</v>
      </c>
      <c r="K41" s="254" t="s">
        <v>171</v>
      </c>
      <c r="L41" s="287" t="s">
        <v>173</v>
      </c>
      <c r="M41" s="288"/>
      <c r="N41" s="213">
        <v>115</v>
      </c>
      <c r="P41" s="254" t="s">
        <v>171</v>
      </c>
      <c r="Q41" s="287" t="s">
        <v>173</v>
      </c>
      <c r="R41" s="288"/>
      <c r="S41" s="213">
        <v>115</v>
      </c>
      <c r="U41" s="254" t="s">
        <v>171</v>
      </c>
      <c r="V41" s="287" t="s">
        <v>173</v>
      </c>
      <c r="W41" s="288"/>
      <c r="X41" s="213">
        <v>115</v>
      </c>
    </row>
    <row r="42" spans="1:24" x14ac:dyDescent="0.25">
      <c r="A42" s="56" t="s">
        <v>174</v>
      </c>
      <c r="B42" s="374" t="s">
        <v>172</v>
      </c>
      <c r="C42" s="375"/>
      <c r="D42" s="60"/>
      <c r="F42" s="230" t="s">
        <v>174</v>
      </c>
      <c r="G42" s="355" t="s">
        <v>172</v>
      </c>
      <c r="H42" s="356"/>
      <c r="I42" s="222"/>
      <c r="K42" s="230" t="s">
        <v>174</v>
      </c>
      <c r="L42" s="355" t="s">
        <v>172</v>
      </c>
      <c r="M42" s="356"/>
      <c r="N42" s="222"/>
      <c r="P42" s="230" t="s">
        <v>174</v>
      </c>
      <c r="Q42" s="355" t="s">
        <v>172</v>
      </c>
      <c r="R42" s="356"/>
      <c r="S42" s="222"/>
      <c r="U42" s="230" t="s">
        <v>174</v>
      </c>
      <c r="V42" s="355" t="s">
        <v>172</v>
      </c>
      <c r="W42" s="356"/>
      <c r="X42" s="222"/>
    </row>
    <row r="43" spans="1:24" x14ac:dyDescent="0.25">
      <c r="A43" s="61" t="s">
        <v>175</v>
      </c>
      <c r="B43" s="69"/>
      <c r="C43" s="70"/>
      <c r="D43" s="62">
        <v>70</v>
      </c>
      <c r="F43" s="254" t="s">
        <v>175</v>
      </c>
      <c r="G43" s="329"/>
      <c r="H43" s="328"/>
      <c r="I43" s="213">
        <v>75</v>
      </c>
      <c r="K43" s="254" t="s">
        <v>175</v>
      </c>
      <c r="L43" s="329"/>
      <c r="M43" s="328"/>
      <c r="N43" s="213">
        <v>75</v>
      </c>
      <c r="P43" s="254" t="s">
        <v>175</v>
      </c>
      <c r="Q43" s="329"/>
      <c r="R43" s="328"/>
      <c r="S43" s="213">
        <v>75</v>
      </c>
      <c r="U43" s="254" t="s">
        <v>175</v>
      </c>
      <c r="V43" s="329"/>
      <c r="W43" s="328"/>
      <c r="X43" s="213">
        <v>75</v>
      </c>
    </row>
    <row r="54" spans="2:18" x14ac:dyDescent="0.25">
      <c r="J54" s="423" t="s">
        <v>415</v>
      </c>
    </row>
    <row r="55" spans="2:18" x14ac:dyDescent="0.25">
      <c r="B55" t="s">
        <v>418</v>
      </c>
      <c r="C55" t="s">
        <v>419</v>
      </c>
      <c r="D55" t="s">
        <v>415</v>
      </c>
      <c r="E55" t="s">
        <v>416</v>
      </c>
      <c r="F55" t="s">
        <v>417</v>
      </c>
      <c r="G55" t="s">
        <v>409</v>
      </c>
      <c r="H55" t="s">
        <v>410</v>
      </c>
      <c r="J55" s="423" t="s">
        <v>416</v>
      </c>
      <c r="M55" t="s">
        <v>419</v>
      </c>
      <c r="N55" t="s">
        <v>415</v>
      </c>
      <c r="O55" t="s">
        <v>416</v>
      </c>
      <c r="P55" t="s">
        <v>417</v>
      </c>
      <c r="Q55" t="s">
        <v>409</v>
      </c>
      <c r="R55" t="s">
        <v>410</v>
      </c>
    </row>
    <row r="56" spans="2:18" x14ac:dyDescent="0.25">
      <c r="B56" s="363">
        <v>16</v>
      </c>
      <c r="C56" s="363" t="s">
        <v>135</v>
      </c>
      <c r="D56" s="62">
        <v>10</v>
      </c>
      <c r="E56" s="213">
        <v>15</v>
      </c>
      <c r="F56" s="213">
        <v>8.5</v>
      </c>
      <c r="G56" s="213">
        <v>8.5</v>
      </c>
      <c r="H56" s="213">
        <v>7</v>
      </c>
      <c r="J56" s="423" t="s">
        <v>417</v>
      </c>
      <c r="M56" t="s">
        <v>135</v>
      </c>
      <c r="N56">
        <v>10</v>
      </c>
      <c r="O56">
        <v>15</v>
      </c>
      <c r="P56">
        <v>8.5</v>
      </c>
      <c r="Q56">
        <v>8.5</v>
      </c>
      <c r="R56">
        <v>7</v>
      </c>
    </row>
    <row r="57" spans="2:18" x14ac:dyDescent="0.25">
      <c r="B57">
        <f>B56+1</f>
        <v>17</v>
      </c>
      <c r="C57" s="363" t="s">
        <v>136</v>
      </c>
      <c r="D57" s="62">
        <v>13</v>
      </c>
      <c r="E57" s="213">
        <v>18</v>
      </c>
      <c r="F57" s="213">
        <v>9.5</v>
      </c>
      <c r="G57" s="213">
        <v>9.5</v>
      </c>
      <c r="H57" s="213">
        <v>7.5</v>
      </c>
      <c r="J57" s="423" t="s">
        <v>409</v>
      </c>
      <c r="M57" t="s">
        <v>136</v>
      </c>
      <c r="N57">
        <v>13</v>
      </c>
      <c r="O57">
        <v>18</v>
      </c>
      <c r="P57">
        <v>9.5</v>
      </c>
      <c r="Q57">
        <v>9.5</v>
      </c>
      <c r="R57">
        <v>7.5</v>
      </c>
    </row>
    <row r="58" spans="2:18" x14ac:dyDescent="0.25">
      <c r="B58">
        <f t="shared" ref="B58:B74" si="0">B57+1</f>
        <v>18</v>
      </c>
      <c r="C58" s="363" t="s">
        <v>137</v>
      </c>
      <c r="D58" s="62">
        <v>22.5</v>
      </c>
      <c r="E58" s="213">
        <v>26.5</v>
      </c>
      <c r="F58" s="213">
        <v>11</v>
      </c>
      <c r="G58" s="213">
        <v>11</v>
      </c>
      <c r="H58" s="213">
        <v>9</v>
      </c>
      <c r="J58" s="423" t="s">
        <v>410</v>
      </c>
      <c r="M58" t="s">
        <v>137</v>
      </c>
      <c r="N58">
        <v>22.5</v>
      </c>
      <c r="O58">
        <v>26.5</v>
      </c>
      <c r="P58">
        <v>11</v>
      </c>
      <c r="Q58">
        <v>11</v>
      </c>
      <c r="R58">
        <v>9</v>
      </c>
    </row>
    <row r="59" spans="2:18" x14ac:dyDescent="0.25">
      <c r="B59">
        <f t="shared" si="0"/>
        <v>19</v>
      </c>
      <c r="C59" s="363" t="s">
        <v>138</v>
      </c>
      <c r="D59" s="62">
        <v>24.5</v>
      </c>
      <c r="E59" s="213">
        <v>31</v>
      </c>
      <c r="F59" s="213">
        <v>12.65</v>
      </c>
      <c r="G59" s="213">
        <v>12.65</v>
      </c>
      <c r="H59" s="213">
        <v>10</v>
      </c>
      <c r="M59" t="s">
        <v>138</v>
      </c>
      <c r="N59">
        <v>24.5</v>
      </c>
      <c r="O59">
        <v>31</v>
      </c>
      <c r="P59">
        <v>12.65</v>
      </c>
      <c r="Q59">
        <v>12.65</v>
      </c>
      <c r="R59">
        <v>10</v>
      </c>
    </row>
    <row r="60" spans="2:18" x14ac:dyDescent="0.25">
      <c r="B60">
        <f t="shared" si="0"/>
        <v>20</v>
      </c>
      <c r="C60" s="363" t="s">
        <v>139</v>
      </c>
      <c r="D60" s="62">
        <v>28.5</v>
      </c>
      <c r="E60" s="213">
        <v>34</v>
      </c>
      <c r="F60" s="213">
        <v>13.5</v>
      </c>
      <c r="G60" s="213">
        <v>13.5</v>
      </c>
      <c r="H60" s="213">
        <v>11</v>
      </c>
      <c r="M60" t="s">
        <v>139</v>
      </c>
      <c r="N60">
        <v>28.5</v>
      </c>
      <c r="O60">
        <v>34</v>
      </c>
      <c r="P60">
        <v>13.5</v>
      </c>
      <c r="Q60">
        <v>13.5</v>
      </c>
      <c r="R60">
        <v>11</v>
      </c>
    </row>
    <row r="61" spans="2:18" x14ac:dyDescent="0.25">
      <c r="B61">
        <f t="shared" si="0"/>
        <v>21</v>
      </c>
      <c r="C61" s="363" t="s">
        <v>140</v>
      </c>
      <c r="D61" s="62">
        <v>32.5</v>
      </c>
      <c r="E61" s="213">
        <v>43</v>
      </c>
      <c r="F61" s="213">
        <v>15.5</v>
      </c>
      <c r="G61" s="213">
        <v>15.5</v>
      </c>
      <c r="H61" s="213">
        <v>12</v>
      </c>
      <c r="M61" t="s">
        <v>140</v>
      </c>
      <c r="N61">
        <v>32.5</v>
      </c>
      <c r="O61">
        <v>43</v>
      </c>
      <c r="P61">
        <v>15.5</v>
      </c>
      <c r="Q61">
        <v>15.5</v>
      </c>
      <c r="R61">
        <v>12</v>
      </c>
    </row>
    <row r="62" spans="2:18" x14ac:dyDescent="0.25">
      <c r="B62">
        <f t="shared" si="0"/>
        <v>22</v>
      </c>
      <c r="C62" s="363" t="s">
        <v>141</v>
      </c>
      <c r="D62" s="62">
        <v>34.5</v>
      </c>
      <c r="E62" s="213">
        <v>45</v>
      </c>
      <c r="F62" s="213">
        <v>18.5</v>
      </c>
      <c r="G62" s="213">
        <v>18.5</v>
      </c>
      <c r="H62" s="213">
        <v>13.5</v>
      </c>
      <c r="M62" t="s">
        <v>141</v>
      </c>
      <c r="N62">
        <v>34.5</v>
      </c>
      <c r="O62">
        <v>45</v>
      </c>
      <c r="P62">
        <v>18.5</v>
      </c>
      <c r="Q62">
        <v>18.5</v>
      </c>
      <c r="R62">
        <v>13.5</v>
      </c>
    </row>
    <row r="63" spans="2:18" x14ac:dyDescent="0.25">
      <c r="B63">
        <f t="shared" si="0"/>
        <v>23</v>
      </c>
      <c r="C63" s="363" t="s">
        <v>142</v>
      </c>
      <c r="D63" s="62">
        <v>43.5</v>
      </c>
      <c r="E63" s="213">
        <v>52.5</v>
      </c>
      <c r="F63" s="213">
        <v>24.5</v>
      </c>
      <c r="G63" s="213">
        <v>24.5</v>
      </c>
      <c r="H63" s="213">
        <v>18</v>
      </c>
      <c r="M63" t="s">
        <v>142</v>
      </c>
      <c r="N63">
        <v>43.5</v>
      </c>
      <c r="O63">
        <v>52.5</v>
      </c>
      <c r="P63">
        <v>24.5</v>
      </c>
      <c r="Q63">
        <v>24.5</v>
      </c>
      <c r="R63">
        <v>18</v>
      </c>
    </row>
    <row r="64" spans="2:18" x14ac:dyDescent="0.25">
      <c r="B64">
        <f t="shared" si="0"/>
        <v>24</v>
      </c>
      <c r="C64" s="363" t="s">
        <v>143</v>
      </c>
      <c r="D64" s="62">
        <v>51.5</v>
      </c>
      <c r="E64" s="213">
        <v>57.5</v>
      </c>
      <c r="F64" s="213">
        <v>31.25</v>
      </c>
      <c r="G64" s="213">
        <v>31.25</v>
      </c>
      <c r="H64" s="213">
        <v>23</v>
      </c>
      <c r="M64" t="s">
        <v>143</v>
      </c>
      <c r="N64">
        <v>51.5</v>
      </c>
      <c r="O64">
        <v>57.5</v>
      </c>
      <c r="P64">
        <v>31.25</v>
      </c>
      <c r="Q64">
        <v>31.25</v>
      </c>
      <c r="R64">
        <v>23</v>
      </c>
    </row>
    <row r="65" spans="2:18" x14ac:dyDescent="0.25">
      <c r="B65">
        <f t="shared" si="0"/>
        <v>25</v>
      </c>
      <c r="C65" s="363" t="s">
        <v>144</v>
      </c>
      <c r="D65" s="62">
        <v>63</v>
      </c>
      <c r="E65" s="213">
        <v>68</v>
      </c>
      <c r="F65" s="213">
        <v>41</v>
      </c>
      <c r="G65" s="213">
        <v>41</v>
      </c>
      <c r="H65" s="213">
        <v>29</v>
      </c>
      <c r="M65" t="s">
        <v>144</v>
      </c>
      <c r="N65">
        <v>63</v>
      </c>
      <c r="O65">
        <v>68</v>
      </c>
      <c r="P65">
        <v>41</v>
      </c>
      <c r="Q65">
        <v>41</v>
      </c>
      <c r="R65">
        <v>29</v>
      </c>
    </row>
    <row r="66" spans="2:18" x14ac:dyDescent="0.25">
      <c r="B66">
        <f t="shared" si="0"/>
        <v>26</v>
      </c>
      <c r="C66" s="363" t="s">
        <v>145</v>
      </c>
      <c r="D66" s="62">
        <v>80</v>
      </c>
      <c r="E66" s="213">
        <v>79</v>
      </c>
      <c r="F66" s="213">
        <v>49</v>
      </c>
      <c r="G66" s="213">
        <v>49</v>
      </c>
      <c r="H66" s="213">
        <v>36</v>
      </c>
      <c r="M66" t="s">
        <v>145</v>
      </c>
      <c r="N66">
        <v>80</v>
      </c>
      <c r="O66">
        <v>79</v>
      </c>
      <c r="P66">
        <v>49</v>
      </c>
      <c r="Q66">
        <v>49</v>
      </c>
      <c r="R66">
        <v>36</v>
      </c>
    </row>
    <row r="67" spans="2:18" x14ac:dyDescent="0.25">
      <c r="B67">
        <f t="shared" si="0"/>
        <v>27</v>
      </c>
      <c r="C67" s="363" t="s">
        <v>146</v>
      </c>
      <c r="D67" s="62">
        <v>93</v>
      </c>
      <c r="E67" s="213">
        <v>86</v>
      </c>
      <c r="F67" s="213">
        <v>57</v>
      </c>
      <c r="G67" s="213">
        <v>57</v>
      </c>
      <c r="H67" s="213">
        <v>42.5</v>
      </c>
      <c r="M67" t="s">
        <v>146</v>
      </c>
      <c r="N67">
        <v>93</v>
      </c>
      <c r="O67">
        <v>86</v>
      </c>
      <c r="P67">
        <v>57</v>
      </c>
      <c r="Q67">
        <v>57</v>
      </c>
      <c r="R67">
        <v>42.5</v>
      </c>
    </row>
    <row r="68" spans="2:18" x14ac:dyDescent="0.25">
      <c r="B68">
        <f t="shared" si="0"/>
        <v>28</v>
      </c>
      <c r="C68" s="363" t="s">
        <v>147</v>
      </c>
      <c r="D68" s="62">
        <v>103</v>
      </c>
      <c r="E68" s="213">
        <v>110</v>
      </c>
      <c r="F68" s="213">
        <v>66</v>
      </c>
      <c r="G68" s="213">
        <v>66</v>
      </c>
      <c r="H68" s="213">
        <v>49</v>
      </c>
      <c r="M68" t="s">
        <v>147</v>
      </c>
      <c r="N68">
        <v>103</v>
      </c>
      <c r="O68">
        <v>110</v>
      </c>
      <c r="P68">
        <v>66</v>
      </c>
      <c r="Q68">
        <v>66</v>
      </c>
      <c r="R68">
        <v>49</v>
      </c>
    </row>
    <row r="69" spans="2:18" x14ac:dyDescent="0.25">
      <c r="B69">
        <f t="shared" si="0"/>
        <v>29</v>
      </c>
      <c r="C69" s="363" t="s">
        <v>148</v>
      </c>
      <c r="D69" s="62">
        <v>114</v>
      </c>
      <c r="E69" s="213">
        <v>145</v>
      </c>
      <c r="F69" s="213">
        <v>87</v>
      </c>
      <c r="G69" s="213">
        <v>87</v>
      </c>
      <c r="H69" s="213">
        <v>65</v>
      </c>
      <c r="M69" t="s">
        <v>148</v>
      </c>
      <c r="N69">
        <v>114</v>
      </c>
      <c r="O69">
        <v>145</v>
      </c>
      <c r="P69">
        <v>87</v>
      </c>
      <c r="Q69">
        <v>87</v>
      </c>
      <c r="R69">
        <v>65</v>
      </c>
    </row>
    <row r="70" spans="2:18" x14ac:dyDescent="0.25">
      <c r="B70">
        <f t="shared" si="0"/>
        <v>30</v>
      </c>
      <c r="C70" s="363" t="s">
        <v>149</v>
      </c>
      <c r="D70" s="62">
        <v>125</v>
      </c>
      <c r="E70" s="213">
        <v>175</v>
      </c>
      <c r="F70" s="213">
        <v>93.5</v>
      </c>
      <c r="G70" s="213">
        <v>93.5</v>
      </c>
      <c r="H70" s="213">
        <v>70</v>
      </c>
      <c r="M70" t="s">
        <v>149</v>
      </c>
      <c r="N70">
        <v>125</v>
      </c>
      <c r="O70">
        <v>175</v>
      </c>
      <c r="P70">
        <v>93.5</v>
      </c>
      <c r="Q70">
        <v>93.5</v>
      </c>
      <c r="R70">
        <v>70</v>
      </c>
    </row>
    <row r="71" spans="2:18" x14ac:dyDescent="0.25">
      <c r="B71">
        <f t="shared" si="0"/>
        <v>31</v>
      </c>
      <c r="C71" s="287" t="s">
        <v>150</v>
      </c>
      <c r="F71" s="213">
        <v>107</v>
      </c>
      <c r="G71" s="213">
        <v>107</v>
      </c>
      <c r="H71" s="213">
        <v>80</v>
      </c>
      <c r="M71" t="s">
        <v>150</v>
      </c>
      <c r="N71" t="s">
        <v>420</v>
      </c>
      <c r="O71" t="s">
        <v>420</v>
      </c>
      <c r="P71">
        <v>107</v>
      </c>
      <c r="Q71">
        <v>107</v>
      </c>
      <c r="R71">
        <v>80</v>
      </c>
    </row>
    <row r="72" spans="2:18" x14ac:dyDescent="0.25">
      <c r="B72">
        <f t="shared" si="0"/>
        <v>32</v>
      </c>
      <c r="C72" s="287" t="s">
        <v>151</v>
      </c>
      <c r="F72" s="213">
        <v>120</v>
      </c>
      <c r="G72" s="213">
        <v>120</v>
      </c>
      <c r="H72" s="213">
        <v>86</v>
      </c>
      <c r="M72" t="s">
        <v>151</v>
      </c>
      <c r="N72" t="s">
        <v>420</v>
      </c>
      <c r="O72" t="s">
        <v>420</v>
      </c>
      <c r="P72">
        <v>120</v>
      </c>
      <c r="Q72">
        <v>120</v>
      </c>
      <c r="R72">
        <v>86</v>
      </c>
    </row>
    <row r="73" spans="2:18" x14ac:dyDescent="0.25">
      <c r="B73">
        <f t="shared" si="0"/>
        <v>33</v>
      </c>
      <c r="C73" s="287" t="s">
        <v>152</v>
      </c>
      <c r="F73" s="213">
        <v>129</v>
      </c>
      <c r="G73" s="213">
        <v>129</v>
      </c>
      <c r="H73" s="213">
        <v>95</v>
      </c>
      <c r="M73" t="s">
        <v>152</v>
      </c>
      <c r="N73" t="s">
        <v>420</v>
      </c>
      <c r="O73" t="s">
        <v>420</v>
      </c>
      <c r="P73">
        <v>129</v>
      </c>
      <c r="Q73">
        <v>129</v>
      </c>
      <c r="R73">
        <v>95</v>
      </c>
    </row>
    <row r="74" spans="2:18" x14ac:dyDescent="0.25">
      <c r="B74">
        <f t="shared" si="0"/>
        <v>34</v>
      </c>
      <c r="C74" s="287" t="s">
        <v>153</v>
      </c>
      <c r="F74" s="213">
        <v>165</v>
      </c>
      <c r="G74" s="213">
        <v>165</v>
      </c>
      <c r="H74" s="213">
        <v>120</v>
      </c>
      <c r="M74" t="s">
        <v>153</v>
      </c>
      <c r="N74" t="s">
        <v>420</v>
      </c>
      <c r="O74" t="s">
        <v>420</v>
      </c>
      <c r="P74">
        <v>165</v>
      </c>
      <c r="Q74">
        <v>165</v>
      </c>
      <c r="R74">
        <v>120</v>
      </c>
    </row>
  </sheetData>
  <dataValidations count="1">
    <dataValidation type="list" allowBlank="1" showInputMessage="1" showErrorMessage="1" sqref="J54:J58" xr:uid="{13155C3C-0E13-4632-8F46-279A0FFB30CD}">
      <formula1>$O$11:$O$16</formula1>
    </dataValidation>
  </dataValidations>
  <pageMargins left="0.7" right="0.7" top="0.75" bottom="0.75" header="0.3" footer="0.3"/>
  <pageSetup orientation="portrait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D71914-86E6-49D9-9051-9203FF8C8C9D}">
  <sheetPr codeName="Sheet24">
    <pageSetUpPr fitToPage="1"/>
  </sheetPr>
  <dimension ref="A1:XFD76"/>
  <sheetViews>
    <sheetView showGridLines="0" workbookViewId="0">
      <selection activeCell="O9" sqref="O9"/>
    </sheetView>
  </sheetViews>
  <sheetFormatPr defaultColWidth="9.140625" defaultRowHeight="12.75" x14ac:dyDescent="0.2"/>
  <cols>
    <col min="1" max="1" width="12.7109375" style="44" customWidth="1"/>
    <col min="2" max="2" width="21" style="44" customWidth="1"/>
    <col min="3" max="3" width="13.140625" style="44" customWidth="1"/>
    <col min="4" max="4" width="12.42578125" style="44" customWidth="1"/>
    <col min="5" max="7" width="12.7109375" style="44" customWidth="1"/>
    <col min="8" max="16384" width="9.140625" style="44"/>
  </cols>
  <sheetData>
    <row r="1" spans="1:7" ht="42.75" customHeight="1" x14ac:dyDescent="0.2"/>
    <row r="2" spans="1:7" ht="16.5" customHeight="1" x14ac:dyDescent="0.25">
      <c r="A2" s="489"/>
      <c r="B2" s="490"/>
      <c r="C2" s="491"/>
      <c r="D2" s="491"/>
      <c r="E2" s="491"/>
      <c r="F2" s="491"/>
    </row>
    <row r="3" spans="1:7" ht="16.5" customHeight="1" x14ac:dyDescent="0.2">
      <c r="A3" s="492" t="s">
        <v>106</v>
      </c>
      <c r="B3" s="492"/>
      <c r="C3" s="491"/>
      <c r="D3" s="491"/>
      <c r="E3" s="491"/>
      <c r="F3" s="491"/>
    </row>
    <row r="4" spans="1:7" s="47" customFormat="1" ht="14.1" customHeight="1" x14ac:dyDescent="0.2">
      <c r="A4" s="493" t="s">
        <v>107</v>
      </c>
      <c r="B4" s="493"/>
      <c r="C4" s="45"/>
      <c r="D4" s="46" t="s">
        <v>108</v>
      </c>
      <c r="E4" s="493" t="s">
        <v>109</v>
      </c>
      <c r="F4" s="493"/>
    </row>
    <row r="5" spans="1:7" s="47" customFormat="1" ht="14.1" customHeight="1" x14ac:dyDescent="0.2">
      <c r="A5" s="493" t="s">
        <v>110</v>
      </c>
      <c r="B5" s="493"/>
      <c r="C5" s="45"/>
      <c r="D5" s="46" t="s">
        <v>111</v>
      </c>
      <c r="E5" s="494">
        <f ca="1">TODAY()</f>
        <v>45198</v>
      </c>
      <c r="F5" s="494"/>
    </row>
    <row r="6" spans="1:7" s="47" customFormat="1" ht="14.1" customHeight="1" x14ac:dyDescent="0.2">
      <c r="A6" s="493" t="s">
        <v>112</v>
      </c>
      <c r="B6" s="493"/>
      <c r="C6" s="495" t="s">
        <v>113</v>
      </c>
      <c r="D6" s="495"/>
      <c r="E6" s="493" t="s">
        <v>114</v>
      </c>
      <c r="F6" s="493"/>
    </row>
    <row r="7" spans="1:7" s="47" customFormat="1" ht="14.1" customHeight="1" x14ac:dyDescent="0.2">
      <c r="A7" s="496" t="s">
        <v>115</v>
      </c>
      <c r="B7" s="493"/>
      <c r="C7" s="497" t="s">
        <v>116</v>
      </c>
      <c r="D7" s="497"/>
      <c r="E7" s="48">
        <f ca="1">TODAY()+30</f>
        <v>45228</v>
      </c>
      <c r="F7" s="49"/>
    </row>
    <row r="8" spans="1:7" s="47" customFormat="1" ht="14.1" customHeight="1" x14ac:dyDescent="0.2">
      <c r="A8" s="498"/>
      <c r="B8" s="498"/>
      <c r="C8" s="498"/>
      <c r="D8" s="498"/>
      <c r="E8" s="498"/>
      <c r="F8" s="498"/>
    </row>
    <row r="9" spans="1:7" s="47" customFormat="1" ht="14.1" customHeight="1" x14ac:dyDescent="0.2">
      <c r="A9" s="50" t="s">
        <v>87</v>
      </c>
      <c r="B9" s="499" t="s">
        <v>23</v>
      </c>
      <c r="C9" s="500"/>
      <c r="D9" s="51"/>
      <c r="E9" s="501"/>
      <c r="F9" s="501"/>
    </row>
    <row r="10" spans="1:7" s="47" customFormat="1" ht="14.1" customHeight="1" x14ac:dyDescent="0.2">
      <c r="A10" s="52"/>
      <c r="B10" s="502"/>
      <c r="C10" s="502"/>
      <c r="D10" s="53"/>
      <c r="E10" s="501"/>
      <c r="F10" s="501"/>
    </row>
    <row r="11" spans="1:7" s="47" customFormat="1" ht="14.1" customHeight="1" x14ac:dyDescent="0.2">
      <c r="A11" s="53"/>
      <c r="B11" s="500" t="s">
        <v>180</v>
      </c>
      <c r="C11" s="500"/>
      <c r="D11" s="53"/>
      <c r="E11" s="501"/>
      <c r="F11" s="501"/>
    </row>
    <row r="12" spans="1:7" s="47" customFormat="1" ht="14.1" customHeight="1" x14ac:dyDescent="0.2">
      <c r="A12" s="53"/>
      <c r="B12" s="500" t="s">
        <v>118</v>
      </c>
      <c r="C12" s="500"/>
      <c r="D12" s="53"/>
      <c r="E12" s="501"/>
      <c r="F12" s="501"/>
    </row>
    <row r="13" spans="1:7" s="47" customFormat="1" ht="14.1" customHeight="1" x14ac:dyDescent="0.2">
      <c r="A13" s="53"/>
      <c r="B13" s="500" t="s">
        <v>119</v>
      </c>
      <c r="C13" s="500"/>
      <c r="D13" s="53"/>
      <c r="E13" s="501"/>
      <c r="F13" s="501"/>
    </row>
    <row r="14" spans="1:7" s="47" customFormat="1" ht="14.1" customHeight="1" thickBot="1" x14ac:dyDescent="0.25">
      <c r="A14" s="503" t="s">
        <v>182</v>
      </c>
      <c r="B14" s="504"/>
      <c r="C14" s="504"/>
      <c r="D14" s="504"/>
      <c r="E14" s="504"/>
      <c r="F14" s="504"/>
    </row>
    <row r="15" spans="1:7" ht="22.5" x14ac:dyDescent="0.2">
      <c r="A15" s="54" t="s">
        <v>121</v>
      </c>
      <c r="B15" s="54" t="s">
        <v>122</v>
      </c>
      <c r="C15" s="55" t="s">
        <v>123</v>
      </c>
      <c r="D15" s="55" t="s">
        <v>124</v>
      </c>
      <c r="E15" s="55" t="s">
        <v>125</v>
      </c>
      <c r="F15" s="55" t="s">
        <v>126</v>
      </c>
      <c r="G15" s="54" t="s">
        <v>127</v>
      </c>
    </row>
    <row r="16" spans="1:7" ht="15.95" customHeight="1" x14ac:dyDescent="0.2">
      <c r="A16" s="56"/>
      <c r="B16" s="56"/>
      <c r="C16" s="57"/>
      <c r="D16" s="57"/>
      <c r="E16" s="58"/>
      <c r="F16" s="57" t="s">
        <v>128</v>
      </c>
      <c r="G16" s="58"/>
    </row>
    <row r="17" spans="1:7" ht="15.95" customHeight="1" thickBot="1" x14ac:dyDescent="0.25">
      <c r="A17" s="505"/>
      <c r="B17" s="505"/>
      <c r="C17" s="505"/>
      <c r="D17" s="505"/>
      <c r="E17" s="505"/>
      <c r="F17" s="505"/>
      <c r="G17" s="505"/>
    </row>
    <row r="18" spans="1:7" ht="15.95" customHeight="1" x14ac:dyDescent="0.2">
      <c r="A18" s="59" t="s">
        <v>96</v>
      </c>
      <c r="B18" s="59" t="s">
        <v>129</v>
      </c>
      <c r="C18" s="683" t="s">
        <v>130</v>
      </c>
      <c r="D18" s="684"/>
      <c r="E18" s="54" t="s">
        <v>131</v>
      </c>
      <c r="F18" s="54" t="s">
        <v>183</v>
      </c>
      <c r="G18" s="54" t="s">
        <v>133</v>
      </c>
    </row>
    <row r="19" spans="1:7" ht="15.95" customHeight="1" x14ac:dyDescent="0.2">
      <c r="A19" s="60"/>
      <c r="B19" s="61" t="s">
        <v>134</v>
      </c>
      <c r="C19" s="508" t="s">
        <v>135</v>
      </c>
      <c r="D19" s="509"/>
      <c r="E19" s="62">
        <v>10</v>
      </c>
      <c r="F19" s="62"/>
      <c r="G19" s="62" t="str">
        <f t="shared" ref="G19:G44" si="0">IF(SUM(A19)&gt;0,SUM((A19*E19)-F19),"")</f>
        <v/>
      </c>
    </row>
    <row r="20" spans="1:7" ht="15.95" customHeight="1" x14ac:dyDescent="0.2">
      <c r="A20" s="60"/>
      <c r="B20" s="61" t="s">
        <v>134</v>
      </c>
      <c r="C20" s="508" t="s">
        <v>136</v>
      </c>
      <c r="D20" s="509"/>
      <c r="E20" s="62">
        <v>13</v>
      </c>
      <c r="F20" s="62"/>
      <c r="G20" s="62" t="str">
        <f t="shared" si="0"/>
        <v/>
      </c>
    </row>
    <row r="21" spans="1:7" ht="15.95" customHeight="1" x14ac:dyDescent="0.2">
      <c r="A21" s="60"/>
      <c r="B21" s="61" t="s">
        <v>134</v>
      </c>
      <c r="C21" s="508" t="s">
        <v>137</v>
      </c>
      <c r="D21" s="509"/>
      <c r="E21" s="62">
        <v>22.5</v>
      </c>
      <c r="F21" s="62"/>
      <c r="G21" s="62" t="str">
        <f t="shared" si="0"/>
        <v/>
      </c>
    </row>
    <row r="22" spans="1:7" ht="15.95" customHeight="1" x14ac:dyDescent="0.2">
      <c r="A22" s="60"/>
      <c r="B22" s="61" t="s">
        <v>134</v>
      </c>
      <c r="C22" s="508" t="s">
        <v>138</v>
      </c>
      <c r="D22" s="509"/>
      <c r="E22" s="62">
        <v>24.5</v>
      </c>
      <c r="F22" s="62"/>
      <c r="G22" s="62" t="str">
        <f t="shared" si="0"/>
        <v/>
      </c>
    </row>
    <row r="23" spans="1:7" ht="15.95" customHeight="1" x14ac:dyDescent="0.2">
      <c r="A23" s="60"/>
      <c r="B23" s="61" t="s">
        <v>134</v>
      </c>
      <c r="C23" s="508" t="s">
        <v>139</v>
      </c>
      <c r="D23" s="509"/>
      <c r="E23" s="62">
        <v>28.5</v>
      </c>
      <c r="F23" s="62"/>
      <c r="G23" s="62" t="str">
        <f t="shared" si="0"/>
        <v/>
      </c>
    </row>
    <row r="24" spans="1:7" ht="15.95" customHeight="1" x14ac:dyDescent="0.2">
      <c r="A24" s="60"/>
      <c r="B24" s="61" t="s">
        <v>134</v>
      </c>
      <c r="C24" s="508" t="s">
        <v>140</v>
      </c>
      <c r="D24" s="509"/>
      <c r="E24" s="62">
        <v>32.5</v>
      </c>
      <c r="F24" s="62"/>
      <c r="G24" s="62" t="str">
        <f t="shared" si="0"/>
        <v/>
      </c>
    </row>
    <row r="25" spans="1:7" ht="15.95" customHeight="1" x14ac:dyDescent="0.2">
      <c r="A25" s="60"/>
      <c r="B25" s="61" t="s">
        <v>134</v>
      </c>
      <c r="C25" s="508" t="s">
        <v>141</v>
      </c>
      <c r="D25" s="509"/>
      <c r="E25" s="62">
        <v>34.5</v>
      </c>
      <c r="F25" s="62"/>
      <c r="G25" s="62" t="str">
        <f t="shared" si="0"/>
        <v/>
      </c>
    </row>
    <row r="26" spans="1:7" ht="15.95" customHeight="1" x14ac:dyDescent="0.2">
      <c r="A26" s="60"/>
      <c r="B26" s="61" t="s">
        <v>134</v>
      </c>
      <c r="C26" s="508" t="s">
        <v>142</v>
      </c>
      <c r="D26" s="509"/>
      <c r="E26" s="62">
        <v>43.5</v>
      </c>
      <c r="F26" s="62"/>
      <c r="G26" s="62" t="str">
        <f t="shared" si="0"/>
        <v/>
      </c>
    </row>
    <row r="27" spans="1:7" ht="15.95" customHeight="1" x14ac:dyDescent="0.2">
      <c r="A27" s="60"/>
      <c r="B27" s="61" t="s">
        <v>134</v>
      </c>
      <c r="C27" s="508" t="s">
        <v>143</v>
      </c>
      <c r="D27" s="509"/>
      <c r="E27" s="62">
        <v>51.5</v>
      </c>
      <c r="F27" s="62"/>
      <c r="G27" s="62" t="str">
        <f t="shared" si="0"/>
        <v/>
      </c>
    </row>
    <row r="28" spans="1:7" ht="15.95" customHeight="1" x14ac:dyDescent="0.2">
      <c r="A28" s="60"/>
      <c r="B28" s="61" t="s">
        <v>134</v>
      </c>
      <c r="C28" s="508" t="s">
        <v>144</v>
      </c>
      <c r="D28" s="509"/>
      <c r="E28" s="62">
        <v>63</v>
      </c>
      <c r="F28" s="62"/>
      <c r="G28" s="62" t="str">
        <f t="shared" si="0"/>
        <v/>
      </c>
    </row>
    <row r="29" spans="1:7" ht="15.95" customHeight="1" x14ac:dyDescent="0.2">
      <c r="A29" s="60"/>
      <c r="B29" s="61" t="s">
        <v>134</v>
      </c>
      <c r="C29" s="508" t="s">
        <v>145</v>
      </c>
      <c r="D29" s="509"/>
      <c r="E29" s="62">
        <v>80</v>
      </c>
      <c r="F29" s="62"/>
      <c r="G29" s="62" t="str">
        <f t="shared" si="0"/>
        <v/>
      </c>
    </row>
    <row r="30" spans="1:7" ht="15.95" customHeight="1" x14ac:dyDescent="0.2">
      <c r="A30" s="60"/>
      <c r="B30" s="61" t="s">
        <v>134</v>
      </c>
      <c r="C30" s="508" t="s">
        <v>146</v>
      </c>
      <c r="D30" s="509"/>
      <c r="E30" s="62">
        <v>93</v>
      </c>
      <c r="F30" s="62"/>
      <c r="G30" s="62" t="str">
        <f t="shared" si="0"/>
        <v/>
      </c>
    </row>
    <row r="31" spans="1:7" ht="15.95" customHeight="1" x14ac:dyDescent="0.2">
      <c r="A31" s="60"/>
      <c r="B31" s="61" t="s">
        <v>134</v>
      </c>
      <c r="C31" s="508" t="s">
        <v>147</v>
      </c>
      <c r="D31" s="509"/>
      <c r="E31" s="62">
        <v>103</v>
      </c>
      <c r="F31" s="62"/>
      <c r="G31" s="62" t="str">
        <f t="shared" si="0"/>
        <v/>
      </c>
    </row>
    <row r="32" spans="1:7" ht="15.95" customHeight="1" x14ac:dyDescent="0.2">
      <c r="A32" s="60"/>
      <c r="B32" s="61" t="s">
        <v>134</v>
      </c>
      <c r="C32" s="508" t="s">
        <v>148</v>
      </c>
      <c r="D32" s="509"/>
      <c r="E32" s="62">
        <v>114</v>
      </c>
      <c r="F32" s="62"/>
      <c r="G32" s="62" t="str">
        <f t="shared" si="0"/>
        <v/>
      </c>
    </row>
    <row r="33" spans="1:7 16384:16384" ht="15.95" customHeight="1" x14ac:dyDescent="0.2">
      <c r="A33" s="60"/>
      <c r="B33" s="61" t="s">
        <v>134</v>
      </c>
      <c r="C33" s="508" t="s">
        <v>149</v>
      </c>
      <c r="D33" s="509"/>
      <c r="E33" s="62">
        <v>125</v>
      </c>
      <c r="F33" s="62"/>
      <c r="G33" s="62" t="str">
        <f t="shared" si="0"/>
        <v/>
      </c>
    </row>
    <row r="34" spans="1:7 16384:16384" ht="15.95" customHeight="1" x14ac:dyDescent="0.2">
      <c r="A34" s="60"/>
      <c r="B34" s="61" t="s">
        <v>184</v>
      </c>
      <c r="C34" s="508" t="s">
        <v>185</v>
      </c>
      <c r="D34" s="509"/>
      <c r="E34" s="62">
        <v>7.5</v>
      </c>
      <c r="F34" s="62"/>
      <c r="G34" s="62">
        <f>SUM(A34*E34)*1.2</f>
        <v>0</v>
      </c>
    </row>
    <row r="35" spans="1:7 16384:16384" ht="15.95" customHeight="1" x14ac:dyDescent="0.2">
      <c r="A35" s="60"/>
      <c r="B35" s="61" t="s">
        <v>184</v>
      </c>
      <c r="C35" s="508" t="s">
        <v>186</v>
      </c>
      <c r="D35" s="509"/>
      <c r="E35" s="62">
        <v>10</v>
      </c>
      <c r="F35" s="62"/>
      <c r="G35" s="62">
        <f>SUM(A35*E35)*1.2</f>
        <v>0</v>
      </c>
    </row>
    <row r="36" spans="1:7 16384:16384" ht="15.95" customHeight="1" x14ac:dyDescent="0.2">
      <c r="A36" s="60"/>
      <c r="B36" s="61" t="s">
        <v>184</v>
      </c>
      <c r="C36" s="508" t="s">
        <v>187</v>
      </c>
      <c r="D36" s="509"/>
      <c r="E36" s="62">
        <v>13</v>
      </c>
      <c r="F36" s="62"/>
      <c r="G36" s="62">
        <f>SUM(A36*E36)*1.2</f>
        <v>0</v>
      </c>
    </row>
    <row r="37" spans="1:7 16384:16384" ht="15.95" customHeight="1" x14ac:dyDescent="0.2">
      <c r="A37" s="60"/>
      <c r="B37" s="61" t="s">
        <v>184</v>
      </c>
      <c r="C37" s="508" t="s">
        <v>188</v>
      </c>
      <c r="D37" s="509"/>
      <c r="E37" s="62">
        <v>18</v>
      </c>
      <c r="F37" s="62"/>
      <c r="G37" s="62">
        <f>SUM(A37*E37)*1.2</f>
        <v>0</v>
      </c>
    </row>
    <row r="38" spans="1:7 16384:16384" ht="15.95" customHeight="1" x14ac:dyDescent="0.2">
      <c r="A38" s="60"/>
      <c r="B38" s="61" t="s">
        <v>184</v>
      </c>
      <c r="C38" s="508" t="s">
        <v>189</v>
      </c>
      <c r="D38" s="509"/>
      <c r="E38" s="62">
        <v>25</v>
      </c>
      <c r="F38" s="62"/>
      <c r="G38" s="62">
        <f>SUM(A38*E38)*1.2</f>
        <v>0</v>
      </c>
    </row>
    <row r="39" spans="1:7 16384:16384" ht="15.95" customHeight="1" x14ac:dyDescent="0.2">
      <c r="A39" s="60"/>
      <c r="B39" s="63" t="s">
        <v>154</v>
      </c>
      <c r="C39" s="510" t="s">
        <v>155</v>
      </c>
      <c r="D39" s="511"/>
      <c r="E39" s="64" t="s">
        <v>156</v>
      </c>
      <c r="F39" s="60"/>
      <c r="G39" s="60"/>
    </row>
    <row r="40" spans="1:7 16384:16384" ht="15.95" customHeight="1" x14ac:dyDescent="0.2">
      <c r="A40" s="60"/>
      <c r="B40" s="61" t="s">
        <v>159</v>
      </c>
      <c r="C40" s="508" t="s">
        <v>190</v>
      </c>
      <c r="D40" s="509"/>
      <c r="E40" s="62">
        <v>2</v>
      </c>
      <c r="F40" s="65">
        <f>SUM(E40*A40)</f>
        <v>0</v>
      </c>
      <c r="G40" s="62">
        <f>SUM(A40*E40)*2</f>
        <v>0</v>
      </c>
    </row>
    <row r="41" spans="1:7 16384:16384" ht="15.95" customHeight="1" x14ac:dyDescent="0.2">
      <c r="A41" s="60"/>
      <c r="B41" s="61" t="s">
        <v>161</v>
      </c>
      <c r="C41" s="508" t="s">
        <v>162</v>
      </c>
      <c r="D41" s="509"/>
      <c r="E41" s="62">
        <v>2.5</v>
      </c>
      <c r="F41" s="65">
        <f>SUM(E41*A41)</f>
        <v>0</v>
      </c>
      <c r="G41" s="62">
        <f>SUM(A41*E41)*2</f>
        <v>0</v>
      </c>
    </row>
    <row r="42" spans="1:7 16384:16384" ht="15.95" customHeight="1" x14ac:dyDescent="0.2">
      <c r="A42" s="60"/>
      <c r="B42" s="56" t="s">
        <v>163</v>
      </c>
      <c r="C42" s="512" t="s">
        <v>191</v>
      </c>
      <c r="D42" s="513"/>
      <c r="E42" s="60" t="s">
        <v>156</v>
      </c>
      <c r="F42" s="60"/>
      <c r="G42" s="60"/>
    </row>
    <row r="43" spans="1:7 16384:16384" ht="15.95" customHeight="1" x14ac:dyDescent="0.2">
      <c r="A43" s="60"/>
      <c r="B43" s="61" t="s">
        <v>192</v>
      </c>
      <c r="C43" s="508">
        <v>0.125</v>
      </c>
      <c r="D43" s="509"/>
      <c r="E43" s="62">
        <v>175</v>
      </c>
      <c r="F43" s="65">
        <f>SUM(E43*A43)</f>
        <v>0</v>
      </c>
      <c r="G43" s="62" t="str">
        <f>IF(SUM(A43)&gt;0,SUM((A43*E43)-F43),"")</f>
        <v/>
      </c>
    </row>
    <row r="44" spans="1:7 16384:16384" ht="15.95" customHeight="1" x14ac:dyDescent="0.2">
      <c r="A44" s="60"/>
      <c r="B44" s="61" t="s">
        <v>166</v>
      </c>
      <c r="C44" s="508"/>
      <c r="D44" s="509"/>
      <c r="E44" s="62">
        <v>30</v>
      </c>
      <c r="F44" s="62"/>
      <c r="G44" s="62" t="str">
        <f t="shared" si="0"/>
        <v/>
      </c>
    </row>
    <row r="45" spans="1:7 16384:16384" ht="15.95" customHeight="1" x14ac:dyDescent="0.2">
      <c r="A45" s="60"/>
      <c r="B45" s="68" t="s">
        <v>167</v>
      </c>
      <c r="C45" s="514"/>
      <c r="D45" s="515"/>
      <c r="E45" s="62"/>
      <c r="F45" s="62"/>
      <c r="G45" s="62">
        <f>SUM(G19:G44)</f>
        <v>0</v>
      </c>
    </row>
    <row r="46" spans="1:7 16384:16384" ht="15.95" customHeight="1" x14ac:dyDescent="0.2">
      <c r="A46" s="60"/>
      <c r="B46" s="68"/>
      <c r="C46" s="69"/>
      <c r="D46" s="70"/>
      <c r="E46" s="62"/>
      <c r="F46" s="62"/>
      <c r="G46" s="62"/>
    </row>
    <row r="47" spans="1:7 16384:16384" ht="15.95" customHeight="1" x14ac:dyDescent="0.2">
      <c r="A47" s="66"/>
      <c r="B47" s="71" t="s">
        <v>168</v>
      </c>
      <c r="C47" s="516" t="s">
        <v>169</v>
      </c>
      <c r="D47" s="517"/>
      <c r="E47" s="66"/>
      <c r="F47" s="66">
        <f>SUM(F40:F43)</f>
        <v>0</v>
      </c>
      <c r="G47" s="65">
        <f>SUM(F43,F41,F40)*0.07</f>
        <v>0</v>
      </c>
      <c r="XFD47" s="72">
        <f>SUM(A47:XFC47)</f>
        <v>0</v>
      </c>
    </row>
    <row r="48" spans="1:7 16384:16384" ht="15.95" customHeight="1" x14ac:dyDescent="0.2">
      <c r="A48" s="67"/>
      <c r="B48" s="73"/>
      <c r="C48" s="518"/>
      <c r="D48" s="519"/>
      <c r="E48" s="67"/>
      <c r="F48" s="67"/>
      <c r="G48" s="62"/>
    </row>
    <row r="49" spans="1:7" ht="15.95" customHeight="1" x14ac:dyDescent="0.2">
      <c r="A49" s="60"/>
      <c r="B49" s="56" t="s">
        <v>171</v>
      </c>
      <c r="C49" s="520" t="s">
        <v>172</v>
      </c>
      <c r="D49" s="521"/>
      <c r="E49" s="60"/>
      <c r="F49" s="60"/>
      <c r="G49" s="60"/>
    </row>
    <row r="50" spans="1:7" ht="15.95" customHeight="1" x14ac:dyDescent="0.2">
      <c r="A50" s="60"/>
      <c r="B50" s="61" t="s">
        <v>171</v>
      </c>
      <c r="C50" s="508" t="s">
        <v>173</v>
      </c>
      <c r="D50" s="509"/>
      <c r="E50" s="62">
        <v>90</v>
      </c>
      <c r="F50" s="62"/>
      <c r="G50" s="62">
        <f>IF(SUM(A50)&gt;0,SUM((A50*E50)-F50),)</f>
        <v>0</v>
      </c>
    </row>
    <row r="51" spans="1:7" ht="15.95" customHeight="1" x14ac:dyDescent="0.2">
      <c r="A51" s="60"/>
      <c r="B51" s="56" t="s">
        <v>174</v>
      </c>
      <c r="C51" s="520" t="s">
        <v>172</v>
      </c>
      <c r="D51" s="521"/>
      <c r="E51" s="60"/>
      <c r="F51" s="60"/>
      <c r="G51" s="60"/>
    </row>
    <row r="52" spans="1:7" ht="15.95" customHeight="1" x14ac:dyDescent="0.2">
      <c r="A52" s="60"/>
      <c r="B52" s="61" t="s">
        <v>175</v>
      </c>
      <c r="C52" s="514"/>
      <c r="D52" s="515"/>
      <c r="E52" s="62">
        <v>70</v>
      </c>
      <c r="F52" s="62"/>
      <c r="G52" s="62">
        <f>IF(SUM(A52)&gt;0,SUM((A52*E52)-F52),)</f>
        <v>0</v>
      </c>
    </row>
    <row r="53" spans="1:7" ht="15.95" customHeight="1" x14ac:dyDescent="0.2">
      <c r="A53" s="74"/>
      <c r="B53" s="61"/>
      <c r="C53" s="514"/>
      <c r="D53" s="515"/>
      <c r="E53" s="62"/>
      <c r="F53" s="62"/>
      <c r="G53" s="62"/>
    </row>
    <row r="54" spans="1:7" ht="15.95" customHeight="1" x14ac:dyDescent="0.2">
      <c r="A54" s="75"/>
      <c r="E54" s="522" t="s">
        <v>176</v>
      </c>
      <c r="F54" s="523"/>
      <c r="G54" s="76">
        <f>SUM(G45+G47+G49+G50+G51+G52)</f>
        <v>0</v>
      </c>
    </row>
    <row r="55" spans="1:7" ht="15.95" customHeight="1" x14ac:dyDescent="0.2">
      <c r="A55" s="75"/>
      <c r="B55" s="77"/>
      <c r="C55" s="77"/>
      <c r="D55" s="535" t="s">
        <v>177</v>
      </c>
      <c r="E55" s="535"/>
      <c r="F55" s="78">
        <v>0.1</v>
      </c>
      <c r="G55" s="79">
        <f>G54*F55</f>
        <v>0</v>
      </c>
    </row>
    <row r="56" spans="1:7" ht="15.95" customHeight="1" x14ac:dyDescent="0.2">
      <c r="A56" s="75"/>
      <c r="B56" s="47"/>
      <c r="C56" s="47"/>
      <c r="D56" s="47"/>
      <c r="E56" s="47"/>
      <c r="F56" s="80" t="s">
        <v>178</v>
      </c>
      <c r="G56" s="62">
        <f>G54-G55</f>
        <v>0</v>
      </c>
    </row>
    <row r="57" spans="1:7" ht="15.95" customHeight="1" x14ac:dyDescent="0.2">
      <c r="A57" s="75"/>
      <c r="B57" s="47"/>
      <c r="C57" s="47"/>
      <c r="D57" s="47"/>
      <c r="E57" s="47"/>
      <c r="F57" s="81" t="s">
        <v>27</v>
      </c>
      <c r="G57" s="62">
        <f>G56*0.05</f>
        <v>0</v>
      </c>
    </row>
    <row r="58" spans="1:7" ht="15.95" customHeight="1" x14ac:dyDescent="0.2">
      <c r="A58" s="75"/>
      <c r="B58" s="47"/>
      <c r="C58" s="47"/>
      <c r="D58" s="47"/>
      <c r="E58" s="47"/>
      <c r="F58" s="80" t="s">
        <v>179</v>
      </c>
      <c r="G58" s="82">
        <f>G56+G57</f>
        <v>0</v>
      </c>
    </row>
    <row r="59" spans="1:7" ht="15.95" customHeight="1" x14ac:dyDescent="0.2">
      <c r="A59" s="75"/>
      <c r="B59" s="83"/>
      <c r="C59" s="83"/>
      <c r="D59" s="47"/>
      <c r="E59" s="84"/>
      <c r="F59" s="85"/>
    </row>
    <row r="60" spans="1:7" ht="15.95" customHeight="1" x14ac:dyDescent="0.2">
      <c r="A60" s="75"/>
      <c r="B60" s="86"/>
      <c r="C60" s="77"/>
      <c r="D60" s="47"/>
      <c r="E60" s="84"/>
      <c r="F60" s="87" t="str">
        <f>IF(SUM(F58)&gt;0,SUM((F58*F59)+F58),"")</f>
        <v/>
      </c>
    </row>
    <row r="61" spans="1:7" ht="15.95" customHeight="1" x14ac:dyDescent="0.2">
      <c r="A61" s="88"/>
      <c r="B61" s="77"/>
      <c r="C61" s="77"/>
      <c r="D61" s="47"/>
      <c r="E61" s="47"/>
      <c r="F61" s="47"/>
    </row>
    <row r="62" spans="1:7" ht="15.95" customHeight="1" x14ac:dyDescent="0.2">
      <c r="A62" s="89"/>
      <c r="B62" s="685"/>
      <c r="C62" s="685"/>
      <c r="D62" s="685"/>
      <c r="E62" s="685"/>
    </row>
    <row r="63" spans="1:7" ht="15.95" customHeight="1" x14ac:dyDescent="0.2">
      <c r="A63" s="47"/>
      <c r="B63" s="90"/>
      <c r="C63" s="91"/>
      <c r="D63" s="91"/>
      <c r="E63" s="91"/>
    </row>
    <row r="64" spans="1:7" ht="15.95" customHeight="1" x14ac:dyDescent="0.2">
      <c r="A64" s="47"/>
    </row>
    <row r="65" spans="1:6" ht="15.95" customHeight="1" x14ac:dyDescent="0.2">
      <c r="A65" s="47"/>
      <c r="B65" s="92"/>
      <c r="C65" s="92"/>
      <c r="D65" s="92"/>
      <c r="E65" s="92"/>
      <c r="F65" s="92"/>
    </row>
    <row r="66" spans="1:6" x14ac:dyDescent="0.2">
      <c r="A66" s="83"/>
    </row>
    <row r="67" spans="1:6" ht="15.95" customHeight="1" x14ac:dyDescent="0.2">
      <c r="A67" s="93"/>
    </row>
    <row r="68" spans="1:6" ht="15.95" customHeight="1" x14ac:dyDescent="0.2">
      <c r="A68" s="93"/>
    </row>
    <row r="69" spans="1:6" ht="15.95" customHeight="1" x14ac:dyDescent="0.2"/>
    <row r="70" spans="1:6" ht="15.95" customHeight="1" x14ac:dyDescent="0.2"/>
    <row r="71" spans="1:6" ht="15.95" customHeight="1" x14ac:dyDescent="0.2"/>
    <row r="72" spans="1:6" ht="15.95" customHeight="1" x14ac:dyDescent="0.2">
      <c r="A72" s="94"/>
    </row>
    <row r="73" spans="1:6" ht="15.95" customHeight="1" x14ac:dyDescent="0.2"/>
    <row r="74" spans="1:6" ht="15.95" customHeight="1" x14ac:dyDescent="0.2"/>
    <row r="75" spans="1:6" ht="15.95" customHeight="1" x14ac:dyDescent="0.2"/>
    <row r="76" spans="1:6" ht="10.5" customHeight="1" x14ac:dyDescent="0.2"/>
  </sheetData>
  <sheetProtection selectLockedCells="1"/>
  <mergeCells count="64">
    <mergeCell ref="D55:E55"/>
    <mergeCell ref="B62:E62"/>
    <mergeCell ref="C49:D49"/>
    <mergeCell ref="C50:D50"/>
    <mergeCell ref="C51:D51"/>
    <mergeCell ref="C52:D52"/>
    <mergeCell ref="C53:D53"/>
    <mergeCell ref="E54:F54"/>
    <mergeCell ref="C48:D48"/>
    <mergeCell ref="C36:D36"/>
    <mergeCell ref="C37:D37"/>
    <mergeCell ref="C38:D38"/>
    <mergeCell ref="C39:D39"/>
    <mergeCell ref="C40:D40"/>
    <mergeCell ref="C41:D41"/>
    <mergeCell ref="C42:D42"/>
    <mergeCell ref="C43:D43"/>
    <mergeCell ref="C44:D44"/>
    <mergeCell ref="C45:D45"/>
    <mergeCell ref="C47:D47"/>
    <mergeCell ref="C35:D35"/>
    <mergeCell ref="C24:D24"/>
    <mergeCell ref="C25:D25"/>
    <mergeCell ref="C26:D26"/>
    <mergeCell ref="C27:D27"/>
    <mergeCell ref="C28:D28"/>
    <mergeCell ref="C29:D29"/>
    <mergeCell ref="C30:D30"/>
    <mergeCell ref="C31:D31"/>
    <mergeCell ref="C32:D32"/>
    <mergeCell ref="C33:D33"/>
    <mergeCell ref="C34:D34"/>
    <mergeCell ref="C23:D23"/>
    <mergeCell ref="B12:C12"/>
    <mergeCell ref="E12:F12"/>
    <mergeCell ref="B13:C13"/>
    <mergeCell ref="E13:F13"/>
    <mergeCell ref="A14:F14"/>
    <mergeCell ref="A17:G17"/>
    <mergeCell ref="C18:D18"/>
    <mergeCell ref="C19:D19"/>
    <mergeCell ref="C20:D20"/>
    <mergeCell ref="C21:D21"/>
    <mergeCell ref="C22:D22"/>
    <mergeCell ref="B11:C11"/>
    <mergeCell ref="E11:F11"/>
    <mergeCell ref="A5:B5"/>
    <mergeCell ref="E5:F5"/>
    <mergeCell ref="A6:B6"/>
    <mergeCell ref="C6:D6"/>
    <mergeCell ref="E6:F6"/>
    <mergeCell ref="A7:B7"/>
    <mergeCell ref="C7:D7"/>
    <mergeCell ref="A8:F8"/>
    <mergeCell ref="B9:C9"/>
    <mergeCell ref="E9:F9"/>
    <mergeCell ref="B10:C10"/>
    <mergeCell ref="E10:F10"/>
    <mergeCell ref="A2:B2"/>
    <mergeCell ref="C2:F2"/>
    <mergeCell ref="A3:B3"/>
    <mergeCell ref="C3:F3"/>
    <mergeCell ref="A4:B4"/>
    <mergeCell ref="E4:F4"/>
  </mergeCells>
  <hyperlinks>
    <hyperlink ref="A7" r:id="rId1" xr:uid="{B58566C5-9636-4F89-8128-4C4574D005CD}"/>
  </hyperlinks>
  <printOptions horizontalCentered="1"/>
  <pageMargins left="0.74803149606299213" right="0.74803149606299213" top="0.51181102362204722" bottom="0.51181102362204722" header="0.51181102362204722" footer="0.51181102362204722"/>
  <pageSetup scale="73" orientation="portrait" r:id="rId2"/>
  <headerFooter alignWithMargins="0"/>
  <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ABCAFB-8D51-4E0C-A84F-44349DCEE662}">
  <sheetPr codeName="Sheet23">
    <pageSetUpPr fitToPage="1"/>
  </sheetPr>
  <dimension ref="A1:XFD76"/>
  <sheetViews>
    <sheetView showGridLines="0" topLeftCell="A18" workbookViewId="0">
      <selection activeCell="O2" sqref="O2"/>
    </sheetView>
  </sheetViews>
  <sheetFormatPr defaultColWidth="9.140625" defaultRowHeight="12.75" x14ac:dyDescent="0.2"/>
  <cols>
    <col min="1" max="1" width="12.7109375" style="284" customWidth="1"/>
    <col min="2" max="2" width="21" style="284" customWidth="1"/>
    <col min="3" max="3" width="13.140625" style="284" customWidth="1"/>
    <col min="4" max="4" width="12.42578125" style="284" customWidth="1"/>
    <col min="5" max="7" width="12.7109375" style="284" customWidth="1"/>
    <col min="8" max="16384" width="9.140625" style="284"/>
  </cols>
  <sheetData>
    <row r="1" spans="1:7" ht="42.75" customHeight="1" x14ac:dyDescent="0.2"/>
    <row r="2" spans="1:7" ht="16.5" customHeight="1" x14ac:dyDescent="0.25">
      <c r="A2" s="597"/>
      <c r="B2" s="598"/>
      <c r="C2" s="599"/>
      <c r="D2" s="599"/>
      <c r="E2" s="599"/>
      <c r="F2" s="599"/>
    </row>
    <row r="3" spans="1:7" ht="16.5" customHeight="1" x14ac:dyDescent="0.2">
      <c r="A3" s="600" t="s">
        <v>106</v>
      </c>
      <c r="B3" s="600"/>
      <c r="C3" s="599"/>
      <c r="D3" s="599"/>
      <c r="E3" s="599"/>
      <c r="F3" s="599"/>
    </row>
    <row r="4" spans="1:7" s="280" customFormat="1" ht="14.1" customHeight="1" x14ac:dyDescent="0.2">
      <c r="A4" s="590" t="s">
        <v>107</v>
      </c>
      <c r="B4" s="590"/>
      <c r="C4" s="237"/>
      <c r="D4" s="279" t="s">
        <v>108</v>
      </c>
      <c r="E4" s="590" t="s">
        <v>109</v>
      </c>
      <c r="F4" s="590"/>
    </row>
    <row r="5" spans="1:7" s="280" customFormat="1" ht="14.1" customHeight="1" x14ac:dyDescent="0.2">
      <c r="A5" s="590" t="s">
        <v>110</v>
      </c>
      <c r="B5" s="590"/>
      <c r="C5" s="237"/>
      <c r="D5" s="279" t="s">
        <v>111</v>
      </c>
      <c r="E5" s="591">
        <f ca="1">TODAY()</f>
        <v>45198</v>
      </c>
      <c r="F5" s="591"/>
    </row>
    <row r="6" spans="1:7" s="280" customFormat="1" ht="14.1" customHeight="1" x14ac:dyDescent="0.2">
      <c r="A6" s="590" t="s">
        <v>112</v>
      </c>
      <c r="B6" s="590"/>
      <c r="C6" s="592" t="s">
        <v>113</v>
      </c>
      <c r="D6" s="592"/>
      <c r="E6" s="590" t="s">
        <v>114</v>
      </c>
      <c r="F6" s="590"/>
    </row>
    <row r="7" spans="1:7" s="280" customFormat="1" ht="14.1" customHeight="1" x14ac:dyDescent="0.2">
      <c r="A7" s="496" t="s">
        <v>115</v>
      </c>
      <c r="B7" s="590"/>
      <c r="C7" s="593" t="s">
        <v>116</v>
      </c>
      <c r="D7" s="593"/>
      <c r="E7" s="236">
        <f ca="1">TODAY()+30</f>
        <v>45228</v>
      </c>
      <c r="F7" s="235"/>
    </row>
    <row r="8" spans="1:7" s="280" customFormat="1" ht="14.1" customHeight="1" x14ac:dyDescent="0.2">
      <c r="A8" s="594"/>
      <c r="B8" s="594"/>
      <c r="C8" s="594"/>
      <c r="D8" s="594"/>
      <c r="E8" s="594"/>
      <c r="F8" s="594"/>
    </row>
    <row r="9" spans="1:7" s="280" customFormat="1" ht="14.1" customHeight="1" x14ac:dyDescent="0.2">
      <c r="A9" s="234" t="s">
        <v>87</v>
      </c>
      <c r="B9" s="686" t="s">
        <v>23</v>
      </c>
      <c r="C9" s="687"/>
      <c r="D9" s="233"/>
      <c r="E9" s="583"/>
      <c r="F9" s="583"/>
    </row>
    <row r="10" spans="1:7" s="280" customFormat="1" ht="14.1" customHeight="1" x14ac:dyDescent="0.2">
      <c r="A10" s="232"/>
      <c r="B10" s="596"/>
      <c r="C10" s="596"/>
      <c r="D10" s="278"/>
      <c r="E10" s="583"/>
      <c r="F10" s="583"/>
    </row>
    <row r="11" spans="1:7" s="280" customFormat="1" ht="14.1" customHeight="1" x14ac:dyDescent="0.2">
      <c r="A11" s="278"/>
      <c r="B11" s="582" t="s">
        <v>180</v>
      </c>
      <c r="C11" s="582"/>
      <c r="D11" s="278"/>
      <c r="E11" s="583"/>
      <c r="F11" s="583"/>
    </row>
    <row r="12" spans="1:7" s="280" customFormat="1" ht="14.1" customHeight="1" x14ac:dyDescent="0.2">
      <c r="A12" s="278"/>
      <c r="B12" s="582" t="s">
        <v>118</v>
      </c>
      <c r="C12" s="582"/>
      <c r="D12" s="278"/>
      <c r="E12" s="583"/>
      <c r="F12" s="583"/>
    </row>
    <row r="13" spans="1:7" s="280" customFormat="1" ht="14.1" customHeight="1" x14ac:dyDescent="0.2">
      <c r="A13" s="278"/>
      <c r="B13" s="582" t="s">
        <v>119</v>
      </c>
      <c r="C13" s="582"/>
      <c r="D13" s="278"/>
      <c r="E13" s="583"/>
      <c r="F13" s="583"/>
    </row>
    <row r="14" spans="1:7" s="280" customFormat="1" ht="14.1" customHeight="1" thickBot="1" x14ac:dyDescent="0.25">
      <c r="A14" s="584" t="s">
        <v>367</v>
      </c>
      <c r="B14" s="585"/>
      <c r="C14" s="585"/>
      <c r="D14" s="585"/>
      <c r="E14" s="585"/>
      <c r="F14" s="585"/>
    </row>
    <row r="15" spans="1:7" ht="22.5" x14ac:dyDescent="0.2">
      <c r="A15" s="289" t="s">
        <v>121</v>
      </c>
      <c r="B15" s="289" t="s">
        <v>122</v>
      </c>
      <c r="C15" s="275" t="s">
        <v>123</v>
      </c>
      <c r="D15" s="275" t="s">
        <v>124</v>
      </c>
      <c r="E15" s="275" t="s">
        <v>125</v>
      </c>
      <c r="F15" s="275" t="s">
        <v>126</v>
      </c>
      <c r="G15" s="289" t="s">
        <v>127</v>
      </c>
    </row>
    <row r="16" spans="1:7" ht="15.95" customHeight="1" x14ac:dyDescent="0.2">
      <c r="A16" s="230" t="s">
        <v>366</v>
      </c>
      <c r="B16" s="230" t="s">
        <v>365</v>
      </c>
      <c r="C16" s="220"/>
      <c r="D16" s="220"/>
      <c r="E16" s="229"/>
      <c r="F16" s="220" t="s">
        <v>128</v>
      </c>
      <c r="G16" s="229"/>
    </row>
    <row r="17" spans="1:7" ht="15.95" customHeight="1" thickBot="1" x14ac:dyDescent="0.25">
      <c r="A17" s="586"/>
      <c r="B17" s="586"/>
      <c r="C17" s="586"/>
      <c r="D17" s="586"/>
      <c r="E17" s="586"/>
      <c r="F17" s="586"/>
      <c r="G17" s="586"/>
    </row>
    <row r="18" spans="1:7" ht="15.95" customHeight="1" x14ac:dyDescent="0.2">
      <c r="A18" s="274" t="s">
        <v>96</v>
      </c>
      <c r="B18" s="274" t="s">
        <v>129</v>
      </c>
      <c r="C18" s="587" t="s">
        <v>130</v>
      </c>
      <c r="D18" s="588"/>
      <c r="E18" s="289" t="s">
        <v>131</v>
      </c>
      <c r="F18" s="289" t="s">
        <v>183</v>
      </c>
      <c r="G18" s="289" t="s">
        <v>133</v>
      </c>
    </row>
    <row r="19" spans="1:7" ht="15.95" customHeight="1" x14ac:dyDescent="0.2">
      <c r="A19" s="222"/>
      <c r="B19" s="254" t="s">
        <v>134</v>
      </c>
      <c r="C19" s="570" t="s">
        <v>135</v>
      </c>
      <c r="D19" s="571"/>
      <c r="E19" s="213">
        <v>15</v>
      </c>
      <c r="F19" s="213"/>
      <c r="G19" s="213" t="str">
        <f t="shared" ref="G19:G33" si="0">IF(SUM(A19)&gt;0,SUM((A19*E19)-F19),"")</f>
        <v/>
      </c>
    </row>
    <row r="20" spans="1:7" ht="15.95" customHeight="1" x14ac:dyDescent="0.2">
      <c r="A20" s="222"/>
      <c r="B20" s="254" t="s">
        <v>134</v>
      </c>
      <c r="C20" s="570" t="s">
        <v>136</v>
      </c>
      <c r="D20" s="571"/>
      <c r="E20" s="213">
        <v>18</v>
      </c>
      <c r="F20" s="213"/>
      <c r="G20" s="213" t="str">
        <f t="shared" si="0"/>
        <v/>
      </c>
    </row>
    <row r="21" spans="1:7" ht="15.95" customHeight="1" x14ac:dyDescent="0.2">
      <c r="A21" s="222"/>
      <c r="B21" s="254" t="s">
        <v>134</v>
      </c>
      <c r="C21" s="570" t="s">
        <v>137</v>
      </c>
      <c r="D21" s="571"/>
      <c r="E21" s="213">
        <v>26.5</v>
      </c>
      <c r="F21" s="213"/>
      <c r="G21" s="213" t="str">
        <f t="shared" si="0"/>
        <v/>
      </c>
    </row>
    <row r="22" spans="1:7" ht="15.95" customHeight="1" x14ac:dyDescent="0.2">
      <c r="A22" s="222"/>
      <c r="B22" s="254" t="s">
        <v>134</v>
      </c>
      <c r="C22" s="570" t="s">
        <v>138</v>
      </c>
      <c r="D22" s="571"/>
      <c r="E22" s="213">
        <v>31</v>
      </c>
      <c r="F22" s="213"/>
      <c r="G22" s="213" t="str">
        <f t="shared" si="0"/>
        <v/>
      </c>
    </row>
    <row r="23" spans="1:7" ht="15.95" customHeight="1" x14ac:dyDescent="0.2">
      <c r="A23" s="222"/>
      <c r="B23" s="254" t="s">
        <v>134</v>
      </c>
      <c r="C23" s="570" t="s">
        <v>139</v>
      </c>
      <c r="D23" s="571"/>
      <c r="E23" s="213">
        <v>34</v>
      </c>
      <c r="F23" s="213"/>
      <c r="G23" s="213" t="str">
        <f t="shared" si="0"/>
        <v/>
      </c>
    </row>
    <row r="24" spans="1:7" ht="15.95" customHeight="1" x14ac:dyDescent="0.2">
      <c r="A24" s="222"/>
      <c r="B24" s="254" t="s">
        <v>134</v>
      </c>
      <c r="C24" s="570" t="s">
        <v>140</v>
      </c>
      <c r="D24" s="571"/>
      <c r="E24" s="213">
        <v>43</v>
      </c>
      <c r="F24" s="213"/>
      <c r="G24" s="213" t="str">
        <f t="shared" si="0"/>
        <v/>
      </c>
    </row>
    <row r="25" spans="1:7" ht="15.95" customHeight="1" x14ac:dyDescent="0.2">
      <c r="A25" s="222"/>
      <c r="B25" s="254" t="s">
        <v>134</v>
      </c>
      <c r="C25" s="570" t="s">
        <v>141</v>
      </c>
      <c r="D25" s="571"/>
      <c r="E25" s="213">
        <v>45</v>
      </c>
      <c r="F25" s="213"/>
      <c r="G25" s="213" t="str">
        <f t="shared" si="0"/>
        <v/>
      </c>
    </row>
    <row r="26" spans="1:7" ht="15.95" customHeight="1" x14ac:dyDescent="0.2">
      <c r="A26" s="222"/>
      <c r="B26" s="254" t="s">
        <v>134</v>
      </c>
      <c r="C26" s="570" t="s">
        <v>142</v>
      </c>
      <c r="D26" s="571"/>
      <c r="E26" s="213">
        <v>52.5</v>
      </c>
      <c r="F26" s="213"/>
      <c r="G26" s="213" t="str">
        <f t="shared" si="0"/>
        <v/>
      </c>
    </row>
    <row r="27" spans="1:7" ht="15.95" customHeight="1" x14ac:dyDescent="0.2">
      <c r="A27" s="222"/>
      <c r="B27" s="254" t="s">
        <v>134</v>
      </c>
      <c r="C27" s="570" t="s">
        <v>143</v>
      </c>
      <c r="D27" s="571"/>
      <c r="E27" s="213">
        <v>57.5</v>
      </c>
      <c r="F27" s="213"/>
      <c r="G27" s="213" t="str">
        <f t="shared" si="0"/>
        <v/>
      </c>
    </row>
    <row r="28" spans="1:7" ht="15.95" customHeight="1" x14ac:dyDescent="0.2">
      <c r="A28" s="222"/>
      <c r="B28" s="254" t="s">
        <v>134</v>
      </c>
      <c r="C28" s="570" t="s">
        <v>144</v>
      </c>
      <c r="D28" s="571"/>
      <c r="E28" s="213">
        <v>68</v>
      </c>
      <c r="F28" s="213"/>
      <c r="G28" s="213" t="str">
        <f t="shared" si="0"/>
        <v/>
      </c>
    </row>
    <row r="29" spans="1:7" ht="15.95" customHeight="1" x14ac:dyDescent="0.2">
      <c r="A29" s="222"/>
      <c r="B29" s="254" t="s">
        <v>134</v>
      </c>
      <c r="C29" s="570" t="s">
        <v>145</v>
      </c>
      <c r="D29" s="571"/>
      <c r="E29" s="213">
        <v>79</v>
      </c>
      <c r="F29" s="213"/>
      <c r="G29" s="213" t="str">
        <f t="shared" si="0"/>
        <v/>
      </c>
    </row>
    <row r="30" spans="1:7" ht="15.95" customHeight="1" x14ac:dyDescent="0.2">
      <c r="A30" s="222"/>
      <c r="B30" s="254" t="s">
        <v>134</v>
      </c>
      <c r="C30" s="570" t="s">
        <v>146</v>
      </c>
      <c r="D30" s="571"/>
      <c r="E30" s="213">
        <v>86</v>
      </c>
      <c r="F30" s="213"/>
      <c r="G30" s="213" t="str">
        <f t="shared" si="0"/>
        <v/>
      </c>
    </row>
    <row r="31" spans="1:7" ht="15.95" customHeight="1" x14ac:dyDescent="0.2">
      <c r="A31" s="222"/>
      <c r="B31" s="254" t="s">
        <v>134</v>
      </c>
      <c r="C31" s="570" t="s">
        <v>147</v>
      </c>
      <c r="D31" s="571"/>
      <c r="E31" s="213">
        <v>110</v>
      </c>
      <c r="F31" s="213"/>
      <c r="G31" s="213" t="str">
        <f t="shared" si="0"/>
        <v/>
      </c>
    </row>
    <row r="32" spans="1:7" ht="15.95" customHeight="1" x14ac:dyDescent="0.2">
      <c r="A32" s="222"/>
      <c r="B32" s="254" t="s">
        <v>134</v>
      </c>
      <c r="C32" s="570" t="s">
        <v>148</v>
      </c>
      <c r="D32" s="571"/>
      <c r="E32" s="213">
        <v>145</v>
      </c>
      <c r="F32" s="213"/>
      <c r="G32" s="213" t="str">
        <f t="shared" si="0"/>
        <v/>
      </c>
    </row>
    <row r="33" spans="1:7 16384:16384" ht="15.95" customHeight="1" x14ac:dyDescent="0.2">
      <c r="A33" s="222"/>
      <c r="B33" s="254" t="s">
        <v>134</v>
      </c>
      <c r="C33" s="570" t="s">
        <v>149</v>
      </c>
      <c r="D33" s="571"/>
      <c r="E33" s="213">
        <v>175</v>
      </c>
      <c r="F33" s="213"/>
      <c r="G33" s="213" t="str">
        <f t="shared" si="0"/>
        <v/>
      </c>
    </row>
    <row r="34" spans="1:7 16384:16384" ht="15.95" customHeight="1" x14ac:dyDescent="0.2">
      <c r="A34" s="222"/>
      <c r="B34" s="254" t="s">
        <v>184</v>
      </c>
      <c r="C34" s="570" t="s">
        <v>185</v>
      </c>
      <c r="D34" s="571"/>
      <c r="E34" s="213">
        <v>8</v>
      </c>
      <c r="F34" s="213"/>
      <c r="G34" s="213">
        <f>SUM(A34*E34)*1.2</f>
        <v>0</v>
      </c>
    </row>
    <row r="35" spans="1:7 16384:16384" ht="15.95" customHeight="1" x14ac:dyDescent="0.2">
      <c r="A35" s="222"/>
      <c r="B35" s="254" t="s">
        <v>184</v>
      </c>
      <c r="C35" s="570" t="s">
        <v>186</v>
      </c>
      <c r="D35" s="571"/>
      <c r="E35" s="213">
        <v>10.5</v>
      </c>
      <c r="F35" s="213"/>
      <c r="G35" s="213">
        <f>SUM(A35*E35)*1.2</f>
        <v>0</v>
      </c>
    </row>
    <row r="36" spans="1:7 16384:16384" ht="15.95" customHeight="1" x14ac:dyDescent="0.2">
      <c r="A36" s="222"/>
      <c r="B36" s="254" t="s">
        <v>184</v>
      </c>
      <c r="C36" s="570" t="s">
        <v>187</v>
      </c>
      <c r="D36" s="571"/>
      <c r="E36" s="213">
        <v>14</v>
      </c>
      <c r="F36" s="213"/>
      <c r="G36" s="213">
        <f>SUM(A36*E36)*1.2</f>
        <v>0</v>
      </c>
    </row>
    <row r="37" spans="1:7 16384:16384" ht="15.95" customHeight="1" x14ac:dyDescent="0.2">
      <c r="A37" s="222"/>
      <c r="B37" s="254" t="s">
        <v>184</v>
      </c>
      <c r="C37" s="570" t="s">
        <v>188</v>
      </c>
      <c r="D37" s="571"/>
      <c r="E37" s="213">
        <v>20</v>
      </c>
      <c r="F37" s="213"/>
      <c r="G37" s="213">
        <f>SUM(A37*E37)*1.2</f>
        <v>0</v>
      </c>
    </row>
    <row r="38" spans="1:7 16384:16384" ht="15.95" customHeight="1" x14ac:dyDescent="0.2">
      <c r="A38" s="222"/>
      <c r="B38" s="254" t="s">
        <v>184</v>
      </c>
      <c r="C38" s="570" t="s">
        <v>189</v>
      </c>
      <c r="D38" s="571"/>
      <c r="E38" s="213">
        <v>25</v>
      </c>
      <c r="F38" s="213"/>
      <c r="G38" s="213">
        <f>SUM(A38*E38)*1.2</f>
        <v>0</v>
      </c>
    </row>
    <row r="39" spans="1:7 16384:16384" ht="15.95" customHeight="1" x14ac:dyDescent="0.2">
      <c r="A39" s="222"/>
      <c r="B39" s="257" t="s">
        <v>154</v>
      </c>
      <c r="C39" s="578" t="s">
        <v>155</v>
      </c>
      <c r="D39" s="579"/>
      <c r="E39" s="245" t="s">
        <v>156</v>
      </c>
      <c r="F39" s="222"/>
      <c r="G39" s="222"/>
    </row>
    <row r="40" spans="1:7 16384:16384" ht="15.95" customHeight="1" x14ac:dyDescent="0.2">
      <c r="A40" s="222"/>
      <c r="B40" s="254" t="s">
        <v>159</v>
      </c>
      <c r="C40" s="570" t="s">
        <v>190</v>
      </c>
      <c r="D40" s="571"/>
      <c r="E40" s="213">
        <v>2.2000000000000002</v>
      </c>
      <c r="F40" s="226">
        <f>SUM(E40*A40)</f>
        <v>0</v>
      </c>
      <c r="G40" s="213">
        <f>SUM(A40*E40)*2</f>
        <v>0</v>
      </c>
    </row>
    <row r="41" spans="1:7 16384:16384" ht="15.95" customHeight="1" x14ac:dyDescent="0.2">
      <c r="A41" s="222"/>
      <c r="B41" s="254" t="s">
        <v>161</v>
      </c>
      <c r="C41" s="570" t="s">
        <v>162</v>
      </c>
      <c r="D41" s="571"/>
      <c r="E41" s="213">
        <v>4.5</v>
      </c>
      <c r="F41" s="226">
        <f>SUM(E41*A41)</f>
        <v>0</v>
      </c>
      <c r="G41" s="213">
        <f>SUM(A41*E41)*2</f>
        <v>0</v>
      </c>
    </row>
    <row r="42" spans="1:7 16384:16384" ht="15.95" customHeight="1" x14ac:dyDescent="0.2">
      <c r="A42" s="222"/>
      <c r="B42" s="230" t="s">
        <v>163</v>
      </c>
      <c r="C42" s="576" t="s">
        <v>191</v>
      </c>
      <c r="D42" s="577"/>
      <c r="E42" s="222" t="s">
        <v>156</v>
      </c>
      <c r="F42" s="222"/>
      <c r="G42" s="222"/>
    </row>
    <row r="43" spans="1:7 16384:16384" ht="15.95" customHeight="1" x14ac:dyDescent="0.2">
      <c r="A43" s="222"/>
      <c r="B43" s="254" t="s">
        <v>192</v>
      </c>
      <c r="C43" s="690" t="s">
        <v>364</v>
      </c>
      <c r="D43" s="571"/>
      <c r="E43" s="213">
        <v>500</v>
      </c>
      <c r="F43" s="226">
        <f>SUM(E43*A43)</f>
        <v>0</v>
      </c>
      <c r="G43" s="213" t="str">
        <f>IF(SUM(A43)&gt;0,SUM((A43*E43)-F43),"")</f>
        <v/>
      </c>
    </row>
    <row r="44" spans="1:7 16384:16384" ht="15.95" customHeight="1" x14ac:dyDescent="0.2">
      <c r="A44" s="222"/>
      <c r="B44" s="254" t="s">
        <v>166</v>
      </c>
      <c r="C44" s="570"/>
      <c r="D44" s="571"/>
      <c r="E44" s="213">
        <v>40</v>
      </c>
      <c r="F44" s="213"/>
      <c r="G44" s="213" t="str">
        <f>IF(SUM(A44)&gt;0,SUM((A44*E44)-F44),"")</f>
        <v/>
      </c>
    </row>
    <row r="45" spans="1:7 16384:16384" ht="15.95" customHeight="1" x14ac:dyDescent="0.2">
      <c r="A45" s="222"/>
      <c r="B45" s="330" t="s">
        <v>167</v>
      </c>
      <c r="C45" s="572"/>
      <c r="D45" s="573"/>
      <c r="E45" s="213"/>
      <c r="F45" s="213"/>
      <c r="G45" s="213">
        <f>SUM(G19:G44)</f>
        <v>0</v>
      </c>
    </row>
    <row r="46" spans="1:7 16384:16384" ht="15.95" customHeight="1" x14ac:dyDescent="0.2">
      <c r="A46" s="222"/>
      <c r="B46" s="330"/>
      <c r="C46" s="329"/>
      <c r="D46" s="328"/>
      <c r="E46" s="213"/>
      <c r="F46" s="213"/>
      <c r="G46" s="213"/>
    </row>
    <row r="47" spans="1:7 16384:16384" ht="15.95" customHeight="1" x14ac:dyDescent="0.2">
      <c r="A47" s="326"/>
      <c r="B47" s="327" t="s">
        <v>168</v>
      </c>
      <c r="C47" s="580" t="s">
        <v>169</v>
      </c>
      <c r="D47" s="581"/>
      <c r="E47" s="326"/>
      <c r="F47" s="326">
        <f>SUM(F40:F43)</f>
        <v>0</v>
      </c>
      <c r="G47" s="226">
        <f>SUM(F43,F41,F40)*0.07</f>
        <v>0</v>
      </c>
      <c r="XFD47" s="324">
        <f>SUM(A47:XFC47)</f>
        <v>0</v>
      </c>
    </row>
    <row r="48" spans="1:7 16384:16384" ht="15.95" customHeight="1" x14ac:dyDescent="0.2">
      <c r="A48" s="255"/>
      <c r="B48" s="323"/>
      <c r="C48" s="688"/>
      <c r="D48" s="689"/>
      <c r="E48" s="255"/>
      <c r="F48" s="255"/>
      <c r="G48" s="213"/>
    </row>
    <row r="49" spans="1:7" ht="15.95" customHeight="1" x14ac:dyDescent="0.2">
      <c r="A49" s="222"/>
      <c r="B49" s="230" t="s">
        <v>171</v>
      </c>
      <c r="C49" s="568" t="s">
        <v>172</v>
      </c>
      <c r="D49" s="569"/>
      <c r="E49" s="222"/>
      <c r="F49" s="222"/>
      <c r="G49" s="222"/>
    </row>
    <row r="50" spans="1:7" ht="15.95" customHeight="1" x14ac:dyDescent="0.2">
      <c r="A50" s="222"/>
      <c r="B50" s="254" t="s">
        <v>171</v>
      </c>
      <c r="C50" s="570" t="s">
        <v>173</v>
      </c>
      <c r="D50" s="571"/>
      <c r="E50" s="213">
        <v>115</v>
      </c>
      <c r="F50" s="213"/>
      <c r="G50" s="213">
        <f>IF(SUM(A50)&gt;0,SUM((A50*E50)-F50),)</f>
        <v>0</v>
      </c>
    </row>
    <row r="51" spans="1:7" ht="15.95" customHeight="1" x14ac:dyDescent="0.2">
      <c r="A51" s="222"/>
      <c r="B51" s="230" t="s">
        <v>174</v>
      </c>
      <c r="C51" s="568" t="s">
        <v>172</v>
      </c>
      <c r="D51" s="569"/>
      <c r="E51" s="222"/>
      <c r="F51" s="222"/>
      <c r="G51" s="222"/>
    </row>
    <row r="52" spans="1:7" ht="15.95" customHeight="1" x14ac:dyDescent="0.2">
      <c r="A52" s="222"/>
      <c r="B52" s="254" t="s">
        <v>175</v>
      </c>
      <c r="C52" s="572"/>
      <c r="D52" s="573"/>
      <c r="E52" s="213">
        <v>75</v>
      </c>
      <c r="F52" s="213"/>
      <c r="G52" s="213">
        <f>IF(SUM(A52)&gt;0,SUM((A52*E52)-F52),)</f>
        <v>0</v>
      </c>
    </row>
    <row r="53" spans="1:7" ht="15.95" customHeight="1" x14ac:dyDescent="0.2">
      <c r="A53" s="321"/>
      <c r="B53" s="254"/>
      <c r="C53" s="572"/>
      <c r="D53" s="573"/>
      <c r="E53" s="213"/>
      <c r="F53" s="213"/>
      <c r="G53" s="213"/>
    </row>
    <row r="54" spans="1:7" ht="15.95" customHeight="1" x14ac:dyDescent="0.2">
      <c r="A54" s="316"/>
      <c r="E54" s="574" t="s">
        <v>176</v>
      </c>
      <c r="F54" s="575"/>
      <c r="G54" s="319">
        <f>SUM(G45+G47+G49+G50+G51+G52)</f>
        <v>0</v>
      </c>
    </row>
    <row r="55" spans="1:7" ht="15.95" customHeight="1" x14ac:dyDescent="0.2">
      <c r="A55" s="316"/>
      <c r="B55" s="203"/>
      <c r="C55" s="203"/>
      <c r="D55" s="566" t="s">
        <v>177</v>
      </c>
      <c r="E55" s="566"/>
      <c r="F55" s="249"/>
      <c r="G55" s="318">
        <f>G54*F55</f>
        <v>0</v>
      </c>
    </row>
    <row r="56" spans="1:7" ht="15.95" customHeight="1" x14ac:dyDescent="0.2">
      <c r="A56" s="316"/>
      <c r="B56" s="280"/>
      <c r="C56" s="280"/>
      <c r="D56" s="280"/>
      <c r="E56" s="280"/>
      <c r="F56" s="283" t="s">
        <v>178</v>
      </c>
      <c r="G56" s="213">
        <f>G54-G55</f>
        <v>0</v>
      </c>
    </row>
    <row r="57" spans="1:7" ht="15.95" customHeight="1" x14ac:dyDescent="0.2">
      <c r="A57" s="316"/>
      <c r="B57" s="280"/>
      <c r="C57" s="280"/>
      <c r="D57" s="280"/>
      <c r="E57" s="280"/>
      <c r="F57" s="212" t="s">
        <v>27</v>
      </c>
      <c r="G57" s="213">
        <f>G56*0.05</f>
        <v>0</v>
      </c>
    </row>
    <row r="58" spans="1:7" ht="15.95" customHeight="1" x14ac:dyDescent="0.2">
      <c r="A58" s="316"/>
      <c r="B58" s="280"/>
      <c r="C58" s="280"/>
      <c r="D58" s="280"/>
      <c r="E58" s="280"/>
      <c r="F58" s="283" t="s">
        <v>179</v>
      </c>
      <c r="G58" s="317">
        <f>G56+G57</f>
        <v>0</v>
      </c>
    </row>
    <row r="59" spans="1:7" ht="15.95" customHeight="1" x14ac:dyDescent="0.2">
      <c r="A59" s="316"/>
      <c r="B59" s="209"/>
      <c r="C59" s="209"/>
      <c r="D59" s="280"/>
      <c r="E59" s="206"/>
      <c r="F59" s="208"/>
    </row>
    <row r="60" spans="1:7" ht="15.95" customHeight="1" x14ac:dyDescent="0.2">
      <c r="A60" s="316"/>
      <c r="B60" s="207"/>
      <c r="C60" s="203"/>
      <c r="D60" s="280"/>
      <c r="E60" s="206"/>
      <c r="F60" s="205" t="str">
        <f>IF(SUM(F58)&gt;0,SUM((F58*F59)+F58),"")</f>
        <v/>
      </c>
    </row>
    <row r="61" spans="1:7" ht="15.95" customHeight="1" x14ac:dyDescent="0.2">
      <c r="A61" s="315"/>
      <c r="B61" s="203"/>
      <c r="C61" s="203"/>
      <c r="D61" s="280"/>
      <c r="E61" s="280"/>
      <c r="F61" s="280"/>
    </row>
    <row r="62" spans="1:7" ht="15.95" customHeight="1" x14ac:dyDescent="0.2">
      <c r="A62" s="216"/>
      <c r="B62" s="567"/>
      <c r="C62" s="567"/>
      <c r="D62" s="567"/>
      <c r="E62" s="567"/>
    </row>
    <row r="63" spans="1:7" ht="15.95" customHeight="1" x14ac:dyDescent="0.2">
      <c r="A63" s="280"/>
      <c r="B63" s="202"/>
      <c r="C63" s="201"/>
      <c r="D63" s="201"/>
      <c r="E63" s="201"/>
    </row>
    <row r="64" spans="1:7" ht="15.95" customHeight="1" x14ac:dyDescent="0.2">
      <c r="A64" s="280"/>
    </row>
    <row r="65" spans="1:6" ht="15.95" customHeight="1" x14ac:dyDescent="0.2">
      <c r="A65" s="280"/>
      <c r="B65" s="282"/>
      <c r="C65" s="282"/>
      <c r="D65" s="282"/>
      <c r="E65" s="282"/>
      <c r="F65" s="282"/>
    </row>
    <row r="66" spans="1:6" x14ac:dyDescent="0.2">
      <c r="A66" s="209"/>
    </row>
    <row r="67" spans="1:6" ht="15.95" customHeight="1" x14ac:dyDescent="0.2">
      <c r="A67" s="204"/>
    </row>
    <row r="68" spans="1:6" ht="15.95" customHeight="1" x14ac:dyDescent="0.2">
      <c r="A68" s="204"/>
    </row>
    <row r="69" spans="1:6" ht="15.95" customHeight="1" x14ac:dyDescent="0.2"/>
    <row r="70" spans="1:6" ht="15.95" customHeight="1" x14ac:dyDescent="0.2"/>
    <row r="71" spans="1:6" ht="15.95" customHeight="1" x14ac:dyDescent="0.2"/>
    <row r="72" spans="1:6" ht="15.95" customHeight="1" x14ac:dyDescent="0.2">
      <c r="A72" s="200"/>
    </row>
    <row r="73" spans="1:6" ht="15.95" customHeight="1" x14ac:dyDescent="0.2"/>
    <row r="74" spans="1:6" ht="15.95" customHeight="1" x14ac:dyDescent="0.2"/>
    <row r="75" spans="1:6" ht="15.95" customHeight="1" x14ac:dyDescent="0.2"/>
    <row r="76" spans="1:6" ht="10.5" customHeight="1" x14ac:dyDescent="0.2"/>
  </sheetData>
  <sheetProtection selectLockedCells="1"/>
  <mergeCells count="64">
    <mergeCell ref="D55:E55"/>
    <mergeCell ref="B62:E62"/>
    <mergeCell ref="C49:D49"/>
    <mergeCell ref="C50:D50"/>
    <mergeCell ref="C51:D51"/>
    <mergeCell ref="C52:D52"/>
    <mergeCell ref="C53:D53"/>
    <mergeCell ref="E54:F54"/>
    <mergeCell ref="C48:D48"/>
    <mergeCell ref="C36:D36"/>
    <mergeCell ref="C37:D37"/>
    <mergeCell ref="C38:D38"/>
    <mergeCell ref="C39:D39"/>
    <mergeCell ref="C40:D40"/>
    <mergeCell ref="C41:D41"/>
    <mergeCell ref="C42:D42"/>
    <mergeCell ref="C43:D43"/>
    <mergeCell ref="C44:D44"/>
    <mergeCell ref="C45:D45"/>
    <mergeCell ref="C47:D47"/>
    <mergeCell ref="C35:D35"/>
    <mergeCell ref="C24:D24"/>
    <mergeCell ref="C25:D25"/>
    <mergeCell ref="C26:D26"/>
    <mergeCell ref="C27:D27"/>
    <mergeCell ref="C28:D28"/>
    <mergeCell ref="C29:D29"/>
    <mergeCell ref="C30:D30"/>
    <mergeCell ref="C31:D31"/>
    <mergeCell ref="C32:D32"/>
    <mergeCell ref="C33:D33"/>
    <mergeCell ref="C34:D34"/>
    <mergeCell ref="C23:D23"/>
    <mergeCell ref="B12:C12"/>
    <mergeCell ref="E12:F12"/>
    <mergeCell ref="B13:C13"/>
    <mergeCell ref="E13:F13"/>
    <mergeCell ref="A14:F14"/>
    <mergeCell ref="A17:G17"/>
    <mergeCell ref="C18:D18"/>
    <mergeCell ref="C19:D19"/>
    <mergeCell ref="C20:D20"/>
    <mergeCell ref="C21:D21"/>
    <mergeCell ref="C22:D22"/>
    <mergeCell ref="B11:C11"/>
    <mergeCell ref="E11:F11"/>
    <mergeCell ref="A5:B5"/>
    <mergeCell ref="E5:F5"/>
    <mergeCell ref="A6:B6"/>
    <mergeCell ref="C6:D6"/>
    <mergeCell ref="E6:F6"/>
    <mergeCell ref="A7:B7"/>
    <mergeCell ref="C7:D7"/>
    <mergeCell ref="A8:F8"/>
    <mergeCell ref="B9:C9"/>
    <mergeCell ref="E9:F9"/>
    <mergeCell ref="B10:C10"/>
    <mergeCell ref="E10:F10"/>
    <mergeCell ref="A2:B2"/>
    <mergeCell ref="C2:F2"/>
    <mergeCell ref="A3:B3"/>
    <mergeCell ref="C3:F3"/>
    <mergeCell ref="A4:B4"/>
    <mergeCell ref="E4:F4"/>
  </mergeCells>
  <hyperlinks>
    <hyperlink ref="A7" r:id="rId1" xr:uid="{50C899A3-7780-483B-BB2B-10871624F556}"/>
  </hyperlinks>
  <printOptions horizontalCentered="1"/>
  <pageMargins left="0.74803149606299213" right="0.74803149606299213" top="0.51181102362204722" bottom="0.51181102362204722" header="0.51181102362204722" footer="0.51181102362204722"/>
  <pageSetup scale="73" orientation="portrait" r:id="rId2"/>
  <headerFooter alignWithMargins="0"/>
  <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FBF567-22E9-486B-8F0C-14B282EE629B}">
  <sheetPr codeName="Sheet20">
    <pageSetUpPr fitToPage="1"/>
  </sheetPr>
  <dimension ref="A1:XFD76"/>
  <sheetViews>
    <sheetView showGridLines="0" workbookViewId="0">
      <selection activeCell="O2" sqref="O2"/>
    </sheetView>
  </sheetViews>
  <sheetFormatPr defaultColWidth="9.140625" defaultRowHeight="12.75" x14ac:dyDescent="0.2"/>
  <cols>
    <col min="1" max="1" width="12.7109375" style="284" customWidth="1"/>
    <col min="2" max="2" width="21" style="284" customWidth="1"/>
    <col min="3" max="3" width="13.140625" style="284" customWidth="1"/>
    <col min="4" max="4" width="12.42578125" style="284" customWidth="1"/>
    <col min="5" max="7" width="12.7109375" style="284" customWidth="1"/>
    <col min="8" max="16384" width="9.140625" style="284"/>
  </cols>
  <sheetData>
    <row r="1" spans="1:7" ht="42.75" customHeight="1" x14ac:dyDescent="0.2"/>
    <row r="2" spans="1:7" ht="16.5" customHeight="1" x14ac:dyDescent="0.25">
      <c r="A2" s="597"/>
      <c r="B2" s="598"/>
      <c r="C2" s="599"/>
      <c r="D2" s="599"/>
      <c r="E2" s="599"/>
      <c r="F2" s="599"/>
    </row>
    <row r="3" spans="1:7" ht="16.5" customHeight="1" x14ac:dyDescent="0.2">
      <c r="A3" s="600" t="s">
        <v>106</v>
      </c>
      <c r="B3" s="600"/>
      <c r="C3" s="599"/>
      <c r="D3" s="599"/>
      <c r="E3" s="599"/>
      <c r="F3" s="599"/>
    </row>
    <row r="4" spans="1:7" s="280" customFormat="1" ht="14.1" customHeight="1" x14ac:dyDescent="0.2">
      <c r="A4" s="590" t="s">
        <v>107</v>
      </c>
      <c r="B4" s="590"/>
      <c r="C4" s="237"/>
      <c r="D4" s="279" t="s">
        <v>108</v>
      </c>
      <c r="E4" s="590" t="s">
        <v>109</v>
      </c>
      <c r="F4" s="590"/>
    </row>
    <row r="5" spans="1:7" s="280" customFormat="1" ht="14.1" customHeight="1" x14ac:dyDescent="0.2">
      <c r="A5" s="590" t="s">
        <v>110</v>
      </c>
      <c r="B5" s="590"/>
      <c r="C5" s="237"/>
      <c r="D5" s="279" t="s">
        <v>111</v>
      </c>
      <c r="E5" s="591">
        <f ca="1">TODAY()</f>
        <v>45198</v>
      </c>
      <c r="F5" s="591"/>
    </row>
    <row r="6" spans="1:7" s="280" customFormat="1" ht="14.1" customHeight="1" x14ac:dyDescent="0.2">
      <c r="A6" s="590" t="s">
        <v>112</v>
      </c>
      <c r="B6" s="590"/>
      <c r="C6" s="592" t="s">
        <v>113</v>
      </c>
      <c r="D6" s="592"/>
      <c r="E6" s="590" t="s">
        <v>114</v>
      </c>
      <c r="F6" s="590"/>
    </row>
    <row r="7" spans="1:7" s="280" customFormat="1" ht="14.1" customHeight="1" x14ac:dyDescent="0.2">
      <c r="A7" s="496" t="s">
        <v>115</v>
      </c>
      <c r="B7" s="590"/>
      <c r="C7" s="593" t="s">
        <v>116</v>
      </c>
      <c r="D7" s="593"/>
      <c r="E7" s="236">
        <f ca="1">TODAY()+30</f>
        <v>45228</v>
      </c>
      <c r="F7" s="235"/>
    </row>
    <row r="8" spans="1:7" s="280" customFormat="1" ht="14.1" customHeight="1" x14ac:dyDescent="0.2">
      <c r="A8" s="594"/>
      <c r="B8" s="594"/>
      <c r="C8" s="594"/>
      <c r="D8" s="594"/>
      <c r="E8" s="594"/>
      <c r="F8" s="594"/>
    </row>
    <row r="9" spans="1:7" s="280" customFormat="1" ht="14.1" customHeight="1" x14ac:dyDescent="0.2">
      <c r="A9" s="234" t="s">
        <v>87</v>
      </c>
      <c r="B9" s="595" t="s">
        <v>23</v>
      </c>
      <c r="C9" s="582"/>
      <c r="D9" s="233"/>
      <c r="E9" s="583"/>
      <c r="F9" s="583"/>
    </row>
    <row r="10" spans="1:7" s="280" customFormat="1" ht="14.1" customHeight="1" x14ac:dyDescent="0.2">
      <c r="A10" s="232"/>
      <c r="B10" s="596"/>
      <c r="C10" s="596"/>
      <c r="D10" s="278"/>
      <c r="E10" s="583"/>
      <c r="F10" s="583"/>
    </row>
    <row r="11" spans="1:7" s="280" customFormat="1" ht="14.1" customHeight="1" x14ac:dyDescent="0.2">
      <c r="A11" s="278"/>
      <c r="B11" s="582" t="s">
        <v>180</v>
      </c>
      <c r="C11" s="582"/>
      <c r="D11" s="278"/>
      <c r="E11" s="583"/>
      <c r="F11" s="583"/>
    </row>
    <row r="12" spans="1:7" s="280" customFormat="1" ht="14.1" customHeight="1" x14ac:dyDescent="0.2">
      <c r="A12" s="278"/>
      <c r="B12" s="582" t="s">
        <v>118</v>
      </c>
      <c r="C12" s="582"/>
      <c r="D12" s="278"/>
      <c r="E12" s="583"/>
      <c r="F12" s="583"/>
    </row>
    <row r="13" spans="1:7" s="280" customFormat="1" ht="14.1" customHeight="1" x14ac:dyDescent="0.2">
      <c r="A13" s="278"/>
      <c r="B13" s="582" t="s">
        <v>119</v>
      </c>
      <c r="C13" s="582"/>
      <c r="D13" s="278"/>
      <c r="E13" s="583"/>
      <c r="F13" s="583"/>
    </row>
    <row r="14" spans="1:7" s="280" customFormat="1" ht="14.1" customHeight="1" thickBot="1" x14ac:dyDescent="0.25">
      <c r="A14" s="584" t="s">
        <v>181</v>
      </c>
      <c r="B14" s="585"/>
      <c r="C14" s="585"/>
      <c r="D14" s="585"/>
      <c r="E14" s="585"/>
      <c r="F14" s="585"/>
    </row>
    <row r="15" spans="1:7" ht="22.5" x14ac:dyDescent="0.2">
      <c r="A15" s="289" t="s">
        <v>121</v>
      </c>
      <c r="B15" s="289" t="s">
        <v>122</v>
      </c>
      <c r="C15" s="275" t="s">
        <v>123</v>
      </c>
      <c r="D15" s="275" t="s">
        <v>124</v>
      </c>
      <c r="E15" s="275" t="s">
        <v>125</v>
      </c>
      <c r="F15" s="275" t="s">
        <v>126</v>
      </c>
      <c r="G15" s="289" t="s">
        <v>127</v>
      </c>
    </row>
    <row r="16" spans="1:7" ht="15.95" customHeight="1" x14ac:dyDescent="0.2">
      <c r="A16" s="230"/>
      <c r="B16" s="230"/>
      <c r="C16" s="220"/>
      <c r="D16" s="220"/>
      <c r="E16" s="229"/>
      <c r="F16" s="220" t="s">
        <v>128</v>
      </c>
      <c r="G16" s="229"/>
    </row>
    <row r="17" spans="1:7" ht="15.95" customHeight="1" thickBot="1" x14ac:dyDescent="0.25">
      <c r="A17" s="586"/>
      <c r="B17" s="586"/>
      <c r="C17" s="586"/>
      <c r="D17" s="586"/>
      <c r="E17" s="586"/>
      <c r="F17" s="586"/>
      <c r="G17" s="586"/>
    </row>
    <row r="18" spans="1:7" ht="15.95" customHeight="1" x14ac:dyDescent="0.2">
      <c r="A18" s="274" t="s">
        <v>96</v>
      </c>
      <c r="B18" s="274" t="s">
        <v>129</v>
      </c>
      <c r="C18" s="587" t="s">
        <v>130</v>
      </c>
      <c r="D18" s="588"/>
      <c r="E18" s="289" t="s">
        <v>131</v>
      </c>
      <c r="F18" s="289" t="s">
        <v>132</v>
      </c>
      <c r="G18" s="289" t="s">
        <v>133</v>
      </c>
    </row>
    <row r="19" spans="1:7" ht="15.95" customHeight="1" x14ac:dyDescent="0.2">
      <c r="A19" s="222"/>
      <c r="B19" s="254" t="s">
        <v>134</v>
      </c>
      <c r="C19" s="570" t="s">
        <v>135</v>
      </c>
      <c r="D19" s="571"/>
      <c r="E19" s="213"/>
      <c r="F19" s="227"/>
      <c r="G19" s="320" t="str">
        <f t="shared" ref="G19:G37" si="0">IF(SUM(A19)&gt;0,SUM((A19*E19)-F19),"")</f>
        <v/>
      </c>
    </row>
    <row r="20" spans="1:7" ht="15.95" customHeight="1" x14ac:dyDescent="0.2">
      <c r="A20" s="222"/>
      <c r="B20" s="254" t="s">
        <v>134</v>
      </c>
      <c r="C20" s="570" t="s">
        <v>136</v>
      </c>
      <c r="D20" s="571"/>
      <c r="E20" s="213"/>
      <c r="F20" s="227"/>
      <c r="G20" s="320" t="str">
        <f t="shared" si="0"/>
        <v/>
      </c>
    </row>
    <row r="21" spans="1:7" ht="15.95" customHeight="1" x14ac:dyDescent="0.2">
      <c r="A21" s="222"/>
      <c r="B21" s="254" t="s">
        <v>134</v>
      </c>
      <c r="C21" s="570" t="s">
        <v>137</v>
      </c>
      <c r="D21" s="571"/>
      <c r="E21" s="213"/>
      <c r="F21" s="227"/>
      <c r="G21" s="320" t="str">
        <f t="shared" si="0"/>
        <v/>
      </c>
    </row>
    <row r="22" spans="1:7" ht="15.95" customHeight="1" x14ac:dyDescent="0.2">
      <c r="A22" s="222"/>
      <c r="B22" s="254" t="s">
        <v>134</v>
      </c>
      <c r="C22" s="570" t="s">
        <v>138</v>
      </c>
      <c r="D22" s="571"/>
      <c r="E22" s="213"/>
      <c r="F22" s="227"/>
      <c r="G22" s="320" t="str">
        <f t="shared" si="0"/>
        <v/>
      </c>
    </row>
    <row r="23" spans="1:7" ht="15.95" customHeight="1" x14ac:dyDescent="0.2">
      <c r="A23" s="222"/>
      <c r="B23" s="254" t="s">
        <v>134</v>
      </c>
      <c r="C23" s="570" t="s">
        <v>139</v>
      </c>
      <c r="D23" s="571"/>
      <c r="E23" s="213"/>
      <c r="F23" s="227"/>
      <c r="G23" s="320" t="str">
        <f t="shared" si="0"/>
        <v/>
      </c>
    </row>
    <row r="24" spans="1:7" ht="15.95" customHeight="1" x14ac:dyDescent="0.2">
      <c r="A24" s="222"/>
      <c r="B24" s="254" t="s">
        <v>134</v>
      </c>
      <c r="C24" s="570" t="s">
        <v>140</v>
      </c>
      <c r="D24" s="571"/>
      <c r="E24" s="213"/>
      <c r="F24" s="227"/>
      <c r="G24" s="320" t="str">
        <f t="shared" si="0"/>
        <v/>
      </c>
    </row>
    <row r="25" spans="1:7" ht="15.95" customHeight="1" x14ac:dyDescent="0.2">
      <c r="A25" s="222"/>
      <c r="B25" s="254" t="s">
        <v>134</v>
      </c>
      <c r="C25" s="570" t="s">
        <v>141</v>
      </c>
      <c r="D25" s="571"/>
      <c r="E25" s="213"/>
      <c r="F25" s="227"/>
      <c r="G25" s="320" t="str">
        <f t="shared" si="0"/>
        <v/>
      </c>
    </row>
    <row r="26" spans="1:7" ht="15.95" customHeight="1" x14ac:dyDescent="0.2">
      <c r="A26" s="222"/>
      <c r="B26" s="254" t="s">
        <v>134</v>
      </c>
      <c r="C26" s="570" t="s">
        <v>142</v>
      </c>
      <c r="D26" s="571"/>
      <c r="E26" s="213"/>
      <c r="F26" s="227"/>
      <c r="G26" s="320" t="str">
        <f t="shared" si="0"/>
        <v/>
      </c>
    </row>
    <row r="27" spans="1:7" ht="15.95" customHeight="1" x14ac:dyDescent="0.2">
      <c r="A27" s="222"/>
      <c r="B27" s="254" t="s">
        <v>134</v>
      </c>
      <c r="C27" s="570" t="s">
        <v>143</v>
      </c>
      <c r="D27" s="571"/>
      <c r="E27" s="213"/>
      <c r="F27" s="227"/>
      <c r="G27" s="320" t="str">
        <f t="shared" si="0"/>
        <v/>
      </c>
    </row>
    <row r="28" spans="1:7" ht="15.95" customHeight="1" x14ac:dyDescent="0.2">
      <c r="A28" s="222"/>
      <c r="B28" s="254" t="s">
        <v>134</v>
      </c>
      <c r="C28" s="570" t="s">
        <v>144</v>
      </c>
      <c r="D28" s="571"/>
      <c r="E28" s="213"/>
      <c r="F28" s="227"/>
      <c r="G28" s="320" t="str">
        <f t="shared" si="0"/>
        <v/>
      </c>
    </row>
    <row r="29" spans="1:7" ht="15.95" customHeight="1" x14ac:dyDescent="0.2">
      <c r="A29" s="222"/>
      <c r="B29" s="254" t="s">
        <v>134</v>
      </c>
      <c r="C29" s="570" t="s">
        <v>145</v>
      </c>
      <c r="D29" s="571"/>
      <c r="E29" s="213"/>
      <c r="F29" s="227"/>
      <c r="G29" s="320" t="str">
        <f t="shared" si="0"/>
        <v/>
      </c>
    </row>
    <row r="30" spans="1:7" ht="15.95" customHeight="1" x14ac:dyDescent="0.2">
      <c r="A30" s="222"/>
      <c r="B30" s="254" t="s">
        <v>134</v>
      </c>
      <c r="C30" s="570" t="s">
        <v>146</v>
      </c>
      <c r="D30" s="571"/>
      <c r="E30" s="213"/>
      <c r="F30" s="227"/>
      <c r="G30" s="320" t="str">
        <f t="shared" si="0"/>
        <v/>
      </c>
    </row>
    <row r="31" spans="1:7" ht="15.95" customHeight="1" x14ac:dyDescent="0.2">
      <c r="A31" s="222"/>
      <c r="B31" s="254" t="s">
        <v>134</v>
      </c>
      <c r="C31" s="570" t="s">
        <v>147</v>
      </c>
      <c r="D31" s="571"/>
      <c r="E31" s="213"/>
      <c r="F31" s="227"/>
      <c r="G31" s="320" t="str">
        <f t="shared" si="0"/>
        <v/>
      </c>
    </row>
    <row r="32" spans="1:7" ht="15.95" customHeight="1" x14ac:dyDescent="0.2">
      <c r="A32" s="222"/>
      <c r="B32" s="254" t="s">
        <v>134</v>
      </c>
      <c r="C32" s="570" t="s">
        <v>148</v>
      </c>
      <c r="D32" s="571"/>
      <c r="E32" s="213"/>
      <c r="F32" s="227"/>
      <c r="G32" s="320" t="str">
        <f t="shared" si="0"/>
        <v/>
      </c>
    </row>
    <row r="33" spans="1:7 16384:16384" ht="15.95" customHeight="1" x14ac:dyDescent="0.2">
      <c r="A33" s="222"/>
      <c r="B33" s="254" t="s">
        <v>134</v>
      </c>
      <c r="C33" s="570" t="s">
        <v>149</v>
      </c>
      <c r="D33" s="571"/>
      <c r="E33" s="213"/>
      <c r="F33" s="227"/>
      <c r="G33" s="320" t="str">
        <f t="shared" si="0"/>
        <v/>
      </c>
    </row>
    <row r="34" spans="1:7 16384:16384" ht="15.95" customHeight="1" x14ac:dyDescent="0.2">
      <c r="A34" s="222"/>
      <c r="B34" s="254" t="s">
        <v>134</v>
      </c>
      <c r="C34" s="570" t="s">
        <v>150</v>
      </c>
      <c r="D34" s="571"/>
      <c r="E34" s="213"/>
      <c r="F34" s="227"/>
      <c r="G34" s="320" t="str">
        <f t="shared" si="0"/>
        <v/>
      </c>
    </row>
    <row r="35" spans="1:7 16384:16384" ht="15.95" customHeight="1" x14ac:dyDescent="0.2">
      <c r="A35" s="222"/>
      <c r="B35" s="254" t="s">
        <v>134</v>
      </c>
      <c r="C35" s="570" t="s">
        <v>151</v>
      </c>
      <c r="D35" s="571"/>
      <c r="E35" s="213"/>
      <c r="F35" s="227"/>
      <c r="G35" s="320" t="str">
        <f t="shared" si="0"/>
        <v/>
      </c>
    </row>
    <row r="36" spans="1:7 16384:16384" ht="15.95" customHeight="1" x14ac:dyDescent="0.2">
      <c r="A36" s="222"/>
      <c r="B36" s="254" t="s">
        <v>134</v>
      </c>
      <c r="C36" s="570" t="s">
        <v>152</v>
      </c>
      <c r="D36" s="571"/>
      <c r="E36" s="213"/>
      <c r="F36" s="227"/>
      <c r="G36" s="320" t="str">
        <f t="shared" si="0"/>
        <v/>
      </c>
    </row>
    <row r="37" spans="1:7 16384:16384" ht="15.95" customHeight="1" x14ac:dyDescent="0.2">
      <c r="A37" s="222"/>
      <c r="B37" s="254" t="s">
        <v>134</v>
      </c>
      <c r="C37" s="570" t="s">
        <v>153</v>
      </c>
      <c r="D37" s="571"/>
      <c r="E37" s="213"/>
      <c r="F37" s="227"/>
      <c r="G37" s="320" t="str">
        <f t="shared" si="0"/>
        <v/>
      </c>
    </row>
    <row r="38" spans="1:7 16384:16384" ht="15.95" customHeight="1" x14ac:dyDescent="0.2">
      <c r="A38" s="222"/>
      <c r="B38" s="257" t="s">
        <v>154</v>
      </c>
      <c r="C38" s="578" t="s">
        <v>155</v>
      </c>
      <c r="D38" s="579"/>
      <c r="E38" s="245" t="s">
        <v>156</v>
      </c>
      <c r="F38" s="256"/>
      <c r="G38" s="322"/>
    </row>
    <row r="39" spans="1:7 16384:16384" ht="15.95" customHeight="1" x14ac:dyDescent="0.2">
      <c r="A39" s="222"/>
      <c r="B39" s="254" t="s">
        <v>157</v>
      </c>
      <c r="C39" s="570" t="s">
        <v>158</v>
      </c>
      <c r="D39" s="571"/>
      <c r="E39" s="213">
        <v>0.75</v>
      </c>
      <c r="F39" s="226">
        <f>(A39*E39)</f>
        <v>0</v>
      </c>
      <c r="G39" s="320">
        <f>(A39*E39)*2</f>
        <v>0</v>
      </c>
    </row>
    <row r="40" spans="1:7 16384:16384" ht="15.95" customHeight="1" x14ac:dyDescent="0.2">
      <c r="A40" s="222"/>
      <c r="B40" s="254" t="s">
        <v>159</v>
      </c>
      <c r="C40" s="570" t="s">
        <v>160</v>
      </c>
      <c r="D40" s="571"/>
      <c r="E40" s="213">
        <v>2</v>
      </c>
      <c r="F40" s="226">
        <f>(A40*E40)</f>
        <v>0</v>
      </c>
      <c r="G40" s="320">
        <f>(A40*E40)*2.5</f>
        <v>0</v>
      </c>
    </row>
    <row r="41" spans="1:7 16384:16384" ht="15.95" customHeight="1" x14ac:dyDescent="0.2">
      <c r="A41" s="222"/>
      <c r="B41" s="254" t="s">
        <v>161</v>
      </c>
      <c r="C41" s="570" t="s">
        <v>162</v>
      </c>
      <c r="D41" s="571"/>
      <c r="E41" s="213">
        <v>2.5</v>
      </c>
      <c r="F41" s="226">
        <f>(A41*E41)</f>
        <v>0</v>
      </c>
      <c r="G41" s="320">
        <f>(A41*E41)*2</f>
        <v>0</v>
      </c>
    </row>
    <row r="42" spans="1:7 16384:16384" ht="15.95" customHeight="1" x14ac:dyDescent="0.2">
      <c r="A42" s="222"/>
      <c r="B42" s="230" t="s">
        <v>163</v>
      </c>
      <c r="C42" s="576" t="s">
        <v>164</v>
      </c>
      <c r="D42" s="577"/>
      <c r="E42" s="222" t="s">
        <v>156</v>
      </c>
      <c r="F42" s="256">
        <v>0</v>
      </c>
      <c r="G42" s="322">
        <f>(F42*0.4)+F42</f>
        <v>0</v>
      </c>
    </row>
    <row r="43" spans="1:7 16384:16384" ht="15.95" customHeight="1" x14ac:dyDescent="0.2">
      <c r="A43" s="222"/>
      <c r="B43" s="254" t="s">
        <v>165</v>
      </c>
      <c r="C43" s="570"/>
      <c r="D43" s="571"/>
      <c r="E43" s="213">
        <v>100</v>
      </c>
      <c r="F43" s="331">
        <f>SUM(A43*E43)</f>
        <v>0</v>
      </c>
      <c r="G43" s="320"/>
    </row>
    <row r="44" spans="1:7 16384:16384" ht="15.95" customHeight="1" x14ac:dyDescent="0.2">
      <c r="A44" s="222"/>
      <c r="B44" s="254" t="s">
        <v>166</v>
      </c>
      <c r="C44" s="570"/>
      <c r="D44" s="571"/>
      <c r="E44" s="213">
        <v>30</v>
      </c>
      <c r="F44" s="227">
        <f>SUM(A44*10)</f>
        <v>0</v>
      </c>
      <c r="G44" s="320">
        <f>SUM(A44*E44)</f>
        <v>0</v>
      </c>
    </row>
    <row r="45" spans="1:7 16384:16384" ht="15.95" customHeight="1" x14ac:dyDescent="0.2">
      <c r="A45" s="222"/>
      <c r="B45" s="330" t="s">
        <v>167</v>
      </c>
      <c r="C45" s="572"/>
      <c r="D45" s="573"/>
      <c r="E45" s="213"/>
      <c r="F45" s="227"/>
      <c r="G45" s="320">
        <f>SUM(G19:G44)</f>
        <v>0</v>
      </c>
    </row>
    <row r="46" spans="1:7 16384:16384" ht="15.95" customHeight="1" x14ac:dyDescent="0.2">
      <c r="A46" s="222"/>
      <c r="B46" s="330"/>
      <c r="C46" s="329"/>
      <c r="D46" s="328"/>
      <c r="E46" s="213"/>
      <c r="F46" s="227"/>
      <c r="G46" s="213"/>
    </row>
    <row r="47" spans="1:7 16384:16384" ht="15.95" customHeight="1" x14ac:dyDescent="0.2">
      <c r="A47" s="326"/>
      <c r="B47" s="327" t="s">
        <v>168</v>
      </c>
      <c r="C47" s="580" t="s">
        <v>169</v>
      </c>
      <c r="D47" s="581"/>
      <c r="E47" s="326"/>
      <c r="F47" s="325"/>
      <c r="G47" s="226">
        <f>SUM(F39,F40,F41,F42,F43)*0.07</f>
        <v>0</v>
      </c>
      <c r="XFD47" s="324">
        <f>SUM(A47:XFC47)</f>
        <v>0</v>
      </c>
    </row>
    <row r="48" spans="1:7 16384:16384" ht="15.95" customHeight="1" x14ac:dyDescent="0.2">
      <c r="A48" s="255"/>
      <c r="B48" s="323" t="s">
        <v>170</v>
      </c>
      <c r="C48" s="688"/>
      <c r="D48" s="689"/>
      <c r="E48" s="255">
        <v>75</v>
      </c>
      <c r="F48" s="258"/>
      <c r="G48" s="213">
        <f>(A48*E48)</f>
        <v>0</v>
      </c>
    </row>
    <row r="49" spans="1:7" ht="15.95" customHeight="1" x14ac:dyDescent="0.2">
      <c r="A49" s="222"/>
      <c r="B49" s="230" t="s">
        <v>171</v>
      </c>
      <c r="C49" s="568" t="s">
        <v>172</v>
      </c>
      <c r="D49" s="569"/>
      <c r="E49" s="222"/>
      <c r="F49" s="256"/>
      <c r="G49" s="322"/>
    </row>
    <row r="50" spans="1:7" ht="15.95" customHeight="1" x14ac:dyDescent="0.2">
      <c r="A50" s="222"/>
      <c r="B50" s="254" t="s">
        <v>171</v>
      </c>
      <c r="C50" s="570" t="s">
        <v>173</v>
      </c>
      <c r="D50" s="571"/>
      <c r="E50" s="213">
        <v>115</v>
      </c>
      <c r="F50" s="227"/>
      <c r="G50" s="320">
        <f>IF(SUM(A50)&gt;0,SUM((A50*E50)-F50),)</f>
        <v>0</v>
      </c>
    </row>
    <row r="51" spans="1:7" ht="15.95" customHeight="1" x14ac:dyDescent="0.2">
      <c r="A51" s="222"/>
      <c r="B51" s="230" t="s">
        <v>174</v>
      </c>
      <c r="C51" s="568" t="s">
        <v>172</v>
      </c>
      <c r="D51" s="569"/>
      <c r="E51" s="222"/>
      <c r="F51" s="256"/>
      <c r="G51" s="322"/>
    </row>
    <row r="52" spans="1:7" ht="15.95" customHeight="1" x14ac:dyDescent="0.2">
      <c r="A52" s="222"/>
      <c r="B52" s="254" t="s">
        <v>175</v>
      </c>
      <c r="C52" s="572"/>
      <c r="D52" s="573"/>
      <c r="E52" s="213">
        <v>75</v>
      </c>
      <c r="F52" s="227"/>
      <c r="G52" s="320" t="str">
        <f>IF(SUM(A52)&gt;0,SUM((A52*E52)-F52),"")</f>
        <v/>
      </c>
    </row>
    <row r="53" spans="1:7" ht="15.95" customHeight="1" x14ac:dyDescent="0.2">
      <c r="A53" s="321"/>
      <c r="B53" s="254"/>
      <c r="C53" s="572"/>
      <c r="D53" s="573"/>
      <c r="E53" s="213"/>
      <c r="F53" s="227"/>
      <c r="G53" s="320"/>
    </row>
    <row r="54" spans="1:7" ht="15.95" customHeight="1" x14ac:dyDescent="0.2">
      <c r="A54" s="316"/>
      <c r="E54" s="574" t="s">
        <v>176</v>
      </c>
      <c r="F54" s="575"/>
      <c r="G54" s="319">
        <f>SUM(G47:G52,G44,G42,G41,G40,G39,G38,G37,G36,G35,G34,G33,G32,G31,G30,G19:G29)</f>
        <v>0</v>
      </c>
    </row>
    <row r="55" spans="1:7" ht="15.95" customHeight="1" x14ac:dyDescent="0.2">
      <c r="A55" s="316"/>
      <c r="B55" s="203"/>
      <c r="C55" s="203"/>
      <c r="D55" s="566" t="s">
        <v>177</v>
      </c>
      <c r="E55" s="566"/>
      <c r="F55" s="249"/>
      <c r="G55" s="318">
        <f>G54*F55</f>
        <v>0</v>
      </c>
    </row>
    <row r="56" spans="1:7" ht="15.95" customHeight="1" x14ac:dyDescent="0.2">
      <c r="A56" s="316"/>
      <c r="B56" s="280"/>
      <c r="C56" s="280"/>
      <c r="D56" s="280"/>
      <c r="E56" s="280"/>
      <c r="F56" s="283" t="s">
        <v>178</v>
      </c>
      <c r="G56" s="213">
        <f>G54-G55</f>
        <v>0</v>
      </c>
    </row>
    <row r="57" spans="1:7" ht="15.95" customHeight="1" x14ac:dyDescent="0.2">
      <c r="A57" s="316"/>
      <c r="B57" s="280"/>
      <c r="C57" s="280"/>
      <c r="D57" s="280"/>
      <c r="E57" s="280"/>
      <c r="F57" s="212" t="s">
        <v>27</v>
      </c>
      <c r="G57" s="213">
        <f>G56*0.05</f>
        <v>0</v>
      </c>
    </row>
    <row r="58" spans="1:7" ht="15.95" customHeight="1" x14ac:dyDescent="0.2">
      <c r="A58" s="316"/>
      <c r="B58" s="280"/>
      <c r="C58" s="280"/>
      <c r="D58" s="280"/>
      <c r="E58" s="280"/>
      <c r="F58" s="283" t="s">
        <v>179</v>
      </c>
      <c r="G58" s="317">
        <f>G56+G57</f>
        <v>0</v>
      </c>
    </row>
    <row r="59" spans="1:7" ht="15.95" customHeight="1" x14ac:dyDescent="0.2">
      <c r="A59" s="316"/>
      <c r="B59" s="209"/>
      <c r="C59" s="209"/>
      <c r="D59" s="280"/>
      <c r="E59" s="206"/>
      <c r="F59" s="208"/>
    </row>
    <row r="60" spans="1:7" ht="15.95" customHeight="1" x14ac:dyDescent="0.2">
      <c r="A60" s="316"/>
      <c r="B60" s="207"/>
      <c r="C60" s="203"/>
      <c r="D60" s="280"/>
      <c r="E60" s="206"/>
      <c r="F60" s="205" t="str">
        <f>IF(SUM(F58)&gt;0,SUM((F58*F59)+F58),"")</f>
        <v/>
      </c>
    </row>
    <row r="61" spans="1:7" ht="15.95" customHeight="1" x14ac:dyDescent="0.2">
      <c r="A61" s="315"/>
      <c r="B61" s="203"/>
      <c r="C61" s="203"/>
      <c r="D61" s="280"/>
      <c r="E61" s="280"/>
      <c r="F61" s="280"/>
    </row>
    <row r="62" spans="1:7" ht="15.95" customHeight="1" x14ac:dyDescent="0.2">
      <c r="A62" s="216"/>
      <c r="B62" s="567"/>
      <c r="C62" s="567"/>
      <c r="D62" s="567"/>
      <c r="E62" s="567"/>
    </row>
    <row r="63" spans="1:7" ht="15.95" customHeight="1" x14ac:dyDescent="0.2">
      <c r="A63" s="280"/>
      <c r="B63" s="202"/>
      <c r="C63" s="201"/>
      <c r="D63" s="201"/>
      <c r="E63" s="201"/>
    </row>
    <row r="64" spans="1:7" ht="15.95" customHeight="1" x14ac:dyDescent="0.2">
      <c r="A64" s="280"/>
    </row>
    <row r="65" spans="1:6" ht="15.95" customHeight="1" x14ac:dyDescent="0.2">
      <c r="A65" s="280"/>
      <c r="B65" s="282"/>
      <c r="C65" s="282"/>
      <c r="D65" s="282"/>
      <c r="E65" s="282"/>
      <c r="F65" s="282"/>
    </row>
    <row r="66" spans="1:6" x14ac:dyDescent="0.2">
      <c r="A66" s="209"/>
    </row>
    <row r="67" spans="1:6" ht="15.95" customHeight="1" x14ac:dyDescent="0.2">
      <c r="A67" s="204"/>
    </row>
    <row r="68" spans="1:6" ht="15.95" customHeight="1" x14ac:dyDescent="0.2">
      <c r="A68" s="204"/>
    </row>
    <row r="69" spans="1:6" ht="15.95" customHeight="1" x14ac:dyDescent="0.2"/>
    <row r="70" spans="1:6" ht="15.95" customHeight="1" x14ac:dyDescent="0.2"/>
    <row r="71" spans="1:6" ht="15.95" customHeight="1" x14ac:dyDescent="0.2"/>
    <row r="72" spans="1:6" ht="15.95" customHeight="1" x14ac:dyDescent="0.2">
      <c r="A72" s="200"/>
    </row>
    <row r="73" spans="1:6" ht="15.95" customHeight="1" x14ac:dyDescent="0.2"/>
    <row r="74" spans="1:6" ht="15.95" customHeight="1" x14ac:dyDescent="0.2"/>
    <row r="75" spans="1:6" ht="15.95" customHeight="1" x14ac:dyDescent="0.2"/>
    <row r="76" spans="1:6" ht="10.5" customHeight="1" x14ac:dyDescent="0.2"/>
  </sheetData>
  <sheetProtection selectLockedCells="1"/>
  <mergeCells count="64">
    <mergeCell ref="D55:E55"/>
    <mergeCell ref="B62:E62"/>
    <mergeCell ref="C49:D49"/>
    <mergeCell ref="C50:D50"/>
    <mergeCell ref="C51:D51"/>
    <mergeCell ref="C52:D52"/>
    <mergeCell ref="C53:D53"/>
    <mergeCell ref="E54:F54"/>
    <mergeCell ref="C48:D48"/>
    <mergeCell ref="C36:D36"/>
    <mergeCell ref="C37:D37"/>
    <mergeCell ref="C38:D38"/>
    <mergeCell ref="C39:D39"/>
    <mergeCell ref="C40:D40"/>
    <mergeCell ref="C41:D41"/>
    <mergeCell ref="C42:D42"/>
    <mergeCell ref="C43:D43"/>
    <mergeCell ref="C44:D44"/>
    <mergeCell ref="C45:D45"/>
    <mergeCell ref="C47:D47"/>
    <mergeCell ref="C35:D35"/>
    <mergeCell ref="C24:D24"/>
    <mergeCell ref="C25:D25"/>
    <mergeCell ref="C26:D26"/>
    <mergeCell ref="C27:D27"/>
    <mergeCell ref="C28:D28"/>
    <mergeCell ref="C29:D29"/>
    <mergeCell ref="C30:D30"/>
    <mergeCell ref="C31:D31"/>
    <mergeCell ref="C32:D32"/>
    <mergeCell ref="C33:D33"/>
    <mergeCell ref="C34:D34"/>
    <mergeCell ref="C23:D23"/>
    <mergeCell ref="B12:C12"/>
    <mergeCell ref="E12:F12"/>
    <mergeCell ref="B13:C13"/>
    <mergeCell ref="E13:F13"/>
    <mergeCell ref="A14:F14"/>
    <mergeCell ref="A17:G17"/>
    <mergeCell ref="C18:D18"/>
    <mergeCell ref="C19:D19"/>
    <mergeCell ref="C20:D20"/>
    <mergeCell ref="C21:D21"/>
    <mergeCell ref="C22:D22"/>
    <mergeCell ref="B11:C11"/>
    <mergeCell ref="E11:F11"/>
    <mergeCell ref="A5:B5"/>
    <mergeCell ref="E5:F5"/>
    <mergeCell ref="A6:B6"/>
    <mergeCell ref="C6:D6"/>
    <mergeCell ref="E6:F6"/>
    <mergeCell ref="A7:B7"/>
    <mergeCell ref="C7:D7"/>
    <mergeCell ref="A8:F8"/>
    <mergeCell ref="B9:C9"/>
    <mergeCell ref="E9:F9"/>
    <mergeCell ref="B10:C10"/>
    <mergeCell ref="E10:F10"/>
    <mergeCell ref="A2:B2"/>
    <mergeCell ref="C2:F2"/>
    <mergeCell ref="A3:B3"/>
    <mergeCell ref="C3:F3"/>
    <mergeCell ref="A4:B4"/>
    <mergeCell ref="E4:F4"/>
  </mergeCells>
  <hyperlinks>
    <hyperlink ref="A7" r:id="rId1" xr:uid="{6B4C022E-66A9-4149-B2CF-7B70F8080258}"/>
  </hyperlinks>
  <printOptions horizontalCentered="1"/>
  <pageMargins left="0.74803149606299213" right="0.74803149606299213" top="0.51181102362204722" bottom="0.51181102362204722" header="0.51181102362204722" footer="0.51181102362204722"/>
  <pageSetup scale="75" orientation="portrait" r:id="rId2"/>
  <headerFooter alignWithMargins="0"/>
  <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8D8938-5414-4CC0-9EF4-A9835420C796}">
  <sheetPr codeName="Sheet28">
    <pageSetUpPr fitToPage="1"/>
  </sheetPr>
  <dimension ref="B6:G9"/>
  <sheetViews>
    <sheetView zoomScaleNormal="100" workbookViewId="0">
      <selection activeCell="H14" sqref="H14"/>
    </sheetView>
  </sheetViews>
  <sheetFormatPr defaultRowHeight="15" x14ac:dyDescent="0.25"/>
  <cols>
    <col min="2" max="2" width="19.42578125" bestFit="1" customWidth="1"/>
    <col min="3" max="3" width="23.42578125" customWidth="1"/>
    <col min="4" max="4" width="16.140625" customWidth="1"/>
    <col min="5" max="6" width="9.140625" bestFit="1" customWidth="1"/>
    <col min="7" max="7" width="10.5703125" customWidth="1"/>
    <col min="8" max="8" width="14.28515625" bestFit="1" customWidth="1"/>
  </cols>
  <sheetData>
    <row r="6" spans="2:7" x14ac:dyDescent="0.25">
      <c r="D6" s="691" t="s">
        <v>458</v>
      </c>
      <c r="E6" s="691"/>
    </row>
    <row r="7" spans="2:7" x14ac:dyDescent="0.25">
      <c r="D7" s="691" t="s">
        <v>459</v>
      </c>
      <c r="E7" s="691"/>
    </row>
    <row r="9" spans="2:7" x14ac:dyDescent="0.25">
      <c r="B9" s="473" t="s">
        <v>439</v>
      </c>
      <c r="C9" s="473" t="s">
        <v>130</v>
      </c>
      <c r="D9" s="473" t="s">
        <v>437</v>
      </c>
      <c r="E9" s="473" t="s">
        <v>27</v>
      </c>
      <c r="F9" s="473" t="s">
        <v>99</v>
      </c>
      <c r="G9" s="473" t="s">
        <v>179</v>
      </c>
    </row>
  </sheetData>
  <mergeCells count="2">
    <mergeCell ref="D6:E6"/>
    <mergeCell ref="D7:E7"/>
  </mergeCells>
  <pageMargins left="0.7" right="0.7" top="0.75" bottom="0.75" header="0.3" footer="0.3"/>
  <pageSetup scale="81" orientation="portrait" verticalDpi="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98E852-94E1-489A-A245-14345F287478}">
  <sheetPr codeName="Sheet9"/>
  <dimension ref="A1:F11"/>
  <sheetViews>
    <sheetView workbookViewId="0">
      <selection activeCell="A29" sqref="A29"/>
    </sheetView>
  </sheetViews>
  <sheetFormatPr defaultRowHeight="15" x14ac:dyDescent="0.25"/>
  <cols>
    <col min="1" max="1" width="45.85546875" bestFit="1" customWidth="1"/>
    <col min="4" max="4" width="15.85546875" customWidth="1"/>
    <col min="8" max="8" width="12.42578125" customWidth="1"/>
  </cols>
  <sheetData>
    <row r="1" spans="1:6" x14ac:dyDescent="0.25">
      <c r="A1" t="s">
        <v>462</v>
      </c>
      <c r="B1" t="s">
        <v>46</v>
      </c>
      <c r="C1" t="s">
        <v>10</v>
      </c>
      <c r="D1" t="s">
        <v>464</v>
      </c>
      <c r="E1" t="s">
        <v>463</v>
      </c>
      <c r="F1" t="s">
        <v>47</v>
      </c>
    </row>
    <row r="2" spans="1:6" x14ac:dyDescent="0.25">
      <c r="A2" t="s">
        <v>89</v>
      </c>
      <c r="B2" s="21">
        <v>10</v>
      </c>
      <c r="C2">
        <v>1.74</v>
      </c>
      <c r="D2" s="485">
        <f>(B2/354)*C2</f>
        <v>4.9152542372881358E-2</v>
      </c>
      <c r="E2" s="485">
        <v>-0.15</v>
      </c>
      <c r="F2" s="486">
        <f t="shared" ref="F2:F8" si="0">E2+D2</f>
        <v>-0.10084745762711864</v>
      </c>
    </row>
    <row r="3" spans="1:6" x14ac:dyDescent="0.25">
      <c r="A3" t="s">
        <v>0</v>
      </c>
      <c r="B3" s="21">
        <v>43.23</v>
      </c>
      <c r="C3">
        <v>1.74</v>
      </c>
      <c r="D3" s="485">
        <f t="shared" ref="D3:D9" si="1">(B3/354)*C3</f>
        <v>0.21248644067796607</v>
      </c>
      <c r="E3" s="485">
        <v>0</v>
      </c>
      <c r="F3" s="486">
        <f t="shared" si="0"/>
        <v>0.21248644067796607</v>
      </c>
    </row>
    <row r="4" spans="1:6" x14ac:dyDescent="0.25">
      <c r="A4" t="s">
        <v>1</v>
      </c>
      <c r="B4" s="21">
        <v>149.19</v>
      </c>
      <c r="C4">
        <v>1.74</v>
      </c>
      <c r="D4" s="485">
        <f t="shared" si="1"/>
        <v>0.73330677966101687</v>
      </c>
      <c r="E4" s="485">
        <v>0</v>
      </c>
      <c r="F4" s="486">
        <f t="shared" si="0"/>
        <v>0.73330677966101687</v>
      </c>
    </row>
    <row r="5" spans="1:6" x14ac:dyDescent="0.25">
      <c r="A5" t="s">
        <v>2</v>
      </c>
      <c r="B5" s="21">
        <v>102.18</v>
      </c>
      <c r="C5">
        <v>1.74</v>
      </c>
      <c r="D5" s="485">
        <f t="shared" si="1"/>
        <v>0.50224067796610172</v>
      </c>
      <c r="E5" s="485">
        <v>0</v>
      </c>
      <c r="F5" s="486">
        <f t="shared" si="0"/>
        <v>0.50224067796610172</v>
      </c>
    </row>
    <row r="6" spans="1:6" x14ac:dyDescent="0.25">
      <c r="A6" t="s">
        <v>3</v>
      </c>
      <c r="B6" s="21">
        <v>131.47</v>
      </c>
      <c r="C6">
        <v>1.74</v>
      </c>
      <c r="D6" s="485">
        <f t="shared" si="1"/>
        <v>0.64620847457627117</v>
      </c>
      <c r="E6" s="485">
        <v>0</v>
      </c>
      <c r="F6" s="486">
        <f t="shared" si="0"/>
        <v>0.64620847457627117</v>
      </c>
    </row>
    <row r="7" spans="1:6" x14ac:dyDescent="0.25">
      <c r="A7" t="s">
        <v>4</v>
      </c>
      <c r="B7" s="21">
        <v>100</v>
      </c>
      <c r="C7">
        <v>1.74</v>
      </c>
      <c r="D7" s="485">
        <f t="shared" si="1"/>
        <v>0.49152542372881358</v>
      </c>
      <c r="E7" s="485">
        <v>0</v>
      </c>
      <c r="F7" s="486">
        <f t="shared" si="0"/>
        <v>0.49152542372881358</v>
      </c>
    </row>
    <row r="8" spans="1:6" x14ac:dyDescent="0.25">
      <c r="A8" t="s">
        <v>6</v>
      </c>
      <c r="B8" s="21">
        <v>294.94</v>
      </c>
      <c r="C8">
        <v>1.74</v>
      </c>
      <c r="D8" s="485">
        <f t="shared" si="1"/>
        <v>1.4497050847457627</v>
      </c>
      <c r="E8" s="485">
        <v>0</v>
      </c>
      <c r="F8" s="486">
        <f t="shared" si="0"/>
        <v>1.4497050847457627</v>
      </c>
    </row>
    <row r="9" spans="1:6" x14ac:dyDescent="0.25">
      <c r="A9" t="s">
        <v>7</v>
      </c>
      <c r="B9" s="21">
        <v>144.63999999999999</v>
      </c>
      <c r="C9">
        <v>1.74</v>
      </c>
      <c r="D9" s="485">
        <f t="shared" si="1"/>
        <v>0.71094237288135587</v>
      </c>
      <c r="E9" s="485">
        <v>0.19</v>
      </c>
      <c r="F9" s="486">
        <f>E9+D9</f>
        <v>0.90094237288135592</v>
      </c>
    </row>
    <row r="10" spans="1:6" x14ac:dyDescent="0.25">
      <c r="A10" t="s">
        <v>90</v>
      </c>
      <c r="B10" s="21"/>
      <c r="C10" s="21"/>
      <c r="E10" t="s">
        <v>90</v>
      </c>
    </row>
    <row r="11" spans="1:6" x14ac:dyDescent="0.25">
      <c r="A11" t="s">
        <v>254</v>
      </c>
      <c r="B11" s="21"/>
      <c r="C11" s="21"/>
      <c r="E11">
        <v>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5D958D-1D75-470C-A035-3E033499CCF0}">
  <sheetPr codeName="Sheet22"/>
  <dimension ref="A1:J22"/>
  <sheetViews>
    <sheetView workbookViewId="0">
      <selection activeCell="O2" sqref="O2"/>
    </sheetView>
  </sheetViews>
  <sheetFormatPr defaultColWidth="0" defaultRowHeight="15" zeroHeight="1" x14ac:dyDescent="0.25"/>
  <cols>
    <col min="1" max="1" width="2.42578125" customWidth="1"/>
    <col min="2" max="2" width="23.5703125" customWidth="1"/>
    <col min="3" max="3" width="22.42578125" customWidth="1"/>
    <col min="4" max="4" width="3.140625" customWidth="1"/>
    <col min="5" max="5" width="27" customWidth="1"/>
    <col min="6" max="6" width="14.140625" customWidth="1"/>
    <col min="7" max="7" width="2.85546875" customWidth="1"/>
    <col min="8" max="9" width="9.140625" hidden="1" customWidth="1"/>
    <col min="10" max="10" width="24" hidden="1" customWidth="1"/>
    <col min="11" max="11" width="9.140625" hidden="1" customWidth="1"/>
    <col min="12" max="16384" width="9.140625" hidden="1"/>
  </cols>
  <sheetData>
    <row r="1" spans="1:10" ht="15.75" thickBot="1" x14ac:dyDescent="0.3"/>
    <row r="2" spans="1:10" ht="15.75" thickBot="1" x14ac:dyDescent="0.3">
      <c r="B2" s="119" t="s">
        <v>23</v>
      </c>
      <c r="C2" s="18"/>
      <c r="D2" s="120" t="s">
        <v>84</v>
      </c>
      <c r="E2" s="607">
        <f>'QUOTE START'!C5</f>
        <v>0</v>
      </c>
      <c r="F2" s="608"/>
      <c r="I2" t="s">
        <v>401</v>
      </c>
    </row>
    <row r="3" spans="1:10" ht="15.75" thickBot="1" x14ac:dyDescent="0.3">
      <c r="B3" s="119" t="s">
        <v>387</v>
      </c>
      <c r="C3" s="119"/>
      <c r="D3" s="18"/>
      <c r="E3" s="18"/>
      <c r="F3" s="18"/>
      <c r="I3" t="s">
        <v>51</v>
      </c>
      <c r="J3" s="12">
        <v>8</v>
      </c>
    </row>
    <row r="4" spans="1:10" ht="15.75" thickBot="1" x14ac:dyDescent="0.3">
      <c r="B4" s="692"/>
      <c r="C4" s="693"/>
      <c r="D4" s="693"/>
      <c r="E4" s="693"/>
      <c r="F4" s="694"/>
      <c r="I4" t="s">
        <v>52</v>
      </c>
      <c r="J4" s="13">
        <v>7</v>
      </c>
    </row>
    <row r="5" spans="1:10" ht="15.75" thickBot="1" x14ac:dyDescent="0.3">
      <c r="I5" t="s">
        <v>53</v>
      </c>
      <c r="J5" s="13">
        <v>16</v>
      </c>
    </row>
    <row r="6" spans="1:10" ht="15.75" thickBot="1" x14ac:dyDescent="0.3">
      <c r="B6" s="695" t="s">
        <v>401</v>
      </c>
      <c r="C6" s="696"/>
      <c r="E6" s="343"/>
      <c r="F6" s="343"/>
      <c r="I6" t="s">
        <v>54</v>
      </c>
      <c r="J6" s="13">
        <v>7</v>
      </c>
    </row>
    <row r="7" spans="1:10" x14ac:dyDescent="0.25">
      <c r="B7" s="343"/>
      <c r="C7" s="343"/>
      <c r="D7" s="343"/>
      <c r="E7" s="343"/>
      <c r="F7" s="343"/>
      <c r="I7" t="s">
        <v>55</v>
      </c>
      <c r="J7" s="13">
        <v>9</v>
      </c>
    </row>
    <row r="8" spans="1:10" ht="15.75" thickBot="1" x14ac:dyDescent="0.3">
      <c r="A8" s="337"/>
      <c r="B8" s="344" t="s">
        <v>393</v>
      </c>
      <c r="C8" s="344"/>
      <c r="D8" s="337"/>
      <c r="E8" s="344" t="s">
        <v>388</v>
      </c>
      <c r="F8" s="344"/>
      <c r="G8" s="337"/>
      <c r="I8" t="s">
        <v>56</v>
      </c>
      <c r="J8" s="13">
        <v>9</v>
      </c>
    </row>
    <row r="9" spans="1:10" ht="15.75" thickBot="1" x14ac:dyDescent="0.3">
      <c r="A9" s="337"/>
      <c r="B9" s="3" t="s">
        <v>375</v>
      </c>
      <c r="C9" s="17">
        <v>0</v>
      </c>
      <c r="D9" s="337"/>
      <c r="E9" s="39" t="s">
        <v>389</v>
      </c>
      <c r="F9" s="345">
        <f>ROUNDDOWN(C13/C10,0)</f>
        <v>96</v>
      </c>
      <c r="G9" s="337"/>
      <c r="I9" t="s">
        <v>57</v>
      </c>
      <c r="J9" s="13">
        <v>8</v>
      </c>
    </row>
    <row r="10" spans="1:10" ht="15.75" thickBot="1" x14ac:dyDescent="0.3">
      <c r="A10" s="337"/>
      <c r="B10" s="346" t="s">
        <v>376</v>
      </c>
      <c r="C10" s="347">
        <f>C9+0.5</f>
        <v>0.5</v>
      </c>
      <c r="D10" s="337"/>
      <c r="E10" s="39" t="s">
        <v>390</v>
      </c>
      <c r="F10" s="345">
        <f>ROUNDUP(C17/F9,0)</f>
        <v>0</v>
      </c>
      <c r="G10" s="337"/>
      <c r="I10" t="s">
        <v>58</v>
      </c>
      <c r="J10" s="13">
        <v>8.5</v>
      </c>
    </row>
    <row r="11" spans="1:10" ht="15.75" thickBot="1" x14ac:dyDescent="0.3">
      <c r="A11" s="337"/>
      <c r="B11" s="3" t="s">
        <v>392</v>
      </c>
      <c r="C11" s="17">
        <v>0</v>
      </c>
      <c r="D11" s="337"/>
      <c r="E11" s="39" t="s">
        <v>391</v>
      </c>
      <c r="F11" s="345">
        <f>F10*C12</f>
        <v>0</v>
      </c>
      <c r="G11" s="337"/>
      <c r="I11" t="s">
        <v>59</v>
      </c>
      <c r="J11" s="13">
        <v>6</v>
      </c>
    </row>
    <row r="12" spans="1:10" ht="15.75" thickBot="1" x14ac:dyDescent="0.3">
      <c r="A12" s="337"/>
      <c r="B12" s="346" t="s">
        <v>378</v>
      </c>
      <c r="C12" s="348">
        <f>C11+0.5</f>
        <v>0.5</v>
      </c>
      <c r="D12" s="337"/>
      <c r="E12" s="39" t="s">
        <v>377</v>
      </c>
      <c r="F12" s="345">
        <v>48</v>
      </c>
      <c r="G12" s="337"/>
      <c r="I12" t="s">
        <v>60</v>
      </c>
      <c r="J12" s="13">
        <v>7</v>
      </c>
    </row>
    <row r="13" spans="1:10" ht="15.75" thickBot="1" x14ac:dyDescent="0.3">
      <c r="A13" s="337"/>
      <c r="B13" s="3" t="s">
        <v>380</v>
      </c>
      <c r="C13" s="338">
        <v>48</v>
      </c>
      <c r="D13" s="337"/>
      <c r="E13" s="39" t="s">
        <v>379</v>
      </c>
      <c r="F13" s="345">
        <f>ROUNDUP(F11*F12/144,0)</f>
        <v>0</v>
      </c>
      <c r="G13" s="337"/>
      <c r="I13" t="s">
        <v>373</v>
      </c>
      <c r="J13" s="13">
        <v>13</v>
      </c>
    </row>
    <row r="14" spans="1:10" ht="15.75" thickBot="1" x14ac:dyDescent="0.3">
      <c r="A14" s="337"/>
      <c r="B14" s="106" t="s">
        <v>399</v>
      </c>
      <c r="C14" s="349">
        <f>IF(B6="VAV",8,IF(B6="LTV",7,IF(B6="PAVV",16,IF(B6="GHT",7,IF(B6="RAV",9,IF(B6="Other - CVAV",9,IF(B6="Avery SW 900",8,IF(B6="3M 1080",8.5,IF(B6="Avery HP 750",6,IF(B6="Avery SC 900",7,IF(B6="Avery V 4000",13,0)))))))))))</f>
        <v>0</v>
      </c>
      <c r="D14" s="337"/>
      <c r="E14" s="39" t="s">
        <v>381</v>
      </c>
      <c r="F14" s="345">
        <f>ROUNDUP(F11/72,0)</f>
        <v>0</v>
      </c>
      <c r="G14" s="337"/>
    </row>
    <row r="15" spans="1:10" ht="15.75" thickBot="1" x14ac:dyDescent="0.3">
      <c r="A15" s="337"/>
      <c r="B15" t="s">
        <v>394</v>
      </c>
      <c r="C15" s="339" t="s">
        <v>398</v>
      </c>
      <c r="D15" s="342" t="s">
        <v>402</v>
      </c>
      <c r="E15" s="39" t="s">
        <v>382</v>
      </c>
      <c r="F15" s="350">
        <f>C14*F13</f>
        <v>0</v>
      </c>
      <c r="G15" s="337"/>
      <c r="I15" t="s">
        <v>398</v>
      </c>
    </row>
    <row r="16" spans="1:10" ht="15.75" thickBot="1" x14ac:dyDescent="0.3">
      <c r="A16" s="337"/>
      <c r="B16" t="s">
        <v>403</v>
      </c>
      <c r="C16" s="340">
        <v>0</v>
      </c>
      <c r="D16" s="337"/>
      <c r="E16" s="39" t="s">
        <v>383</v>
      </c>
      <c r="F16" s="350">
        <f>ROUNDUP(F11/72,0)*20</f>
        <v>0</v>
      </c>
      <c r="G16" s="337"/>
      <c r="I16" t="s">
        <v>395</v>
      </c>
      <c r="J16" s="12">
        <v>8</v>
      </c>
    </row>
    <row r="17" spans="1:10" ht="15.75" thickBot="1" x14ac:dyDescent="0.3">
      <c r="A17" s="337"/>
      <c r="B17" t="s">
        <v>374</v>
      </c>
      <c r="C17" s="341">
        <v>0</v>
      </c>
      <c r="D17" s="337"/>
      <c r="E17" s="39" t="s">
        <v>400</v>
      </c>
      <c r="F17" s="350">
        <f>C16*85</f>
        <v>0</v>
      </c>
      <c r="G17" s="337"/>
      <c r="I17" t="s">
        <v>396</v>
      </c>
      <c r="J17" s="12">
        <v>8</v>
      </c>
    </row>
    <row r="18" spans="1:10" ht="21.75" thickBot="1" x14ac:dyDescent="0.4">
      <c r="A18" s="337"/>
      <c r="B18" s="337"/>
      <c r="C18" s="337"/>
      <c r="D18" s="337"/>
      <c r="E18" s="351" t="s">
        <v>45</v>
      </c>
      <c r="F18" s="352">
        <f>SUM(F15:F17)</f>
        <v>0</v>
      </c>
      <c r="G18" s="337"/>
      <c r="I18" t="s">
        <v>397</v>
      </c>
      <c r="J18" s="12">
        <v>8</v>
      </c>
    </row>
    <row r="19" spans="1:10" ht="21.75" thickBot="1" x14ac:dyDescent="0.4">
      <c r="A19" s="337"/>
      <c r="B19" s="337"/>
      <c r="C19" s="337"/>
      <c r="D19" s="337"/>
      <c r="E19" s="353" t="s">
        <v>384</v>
      </c>
      <c r="F19" s="352" t="e">
        <f>F18/C17</f>
        <v>#DIV/0!</v>
      </c>
      <c r="G19" s="337"/>
    </row>
    <row r="20" spans="1:10" x14ac:dyDescent="0.25">
      <c r="A20" s="337"/>
      <c r="B20" s="337"/>
      <c r="C20" s="337"/>
      <c r="D20" s="337"/>
      <c r="E20" s="337"/>
      <c r="F20" s="337"/>
      <c r="G20" s="337"/>
    </row>
    <row r="21" spans="1:10" x14ac:dyDescent="0.25"/>
    <row r="22" spans="1:10" x14ac:dyDescent="0.25"/>
  </sheetData>
  <sheetProtection selectLockedCells="1"/>
  <mergeCells count="3">
    <mergeCell ref="E2:F2"/>
    <mergeCell ref="B4:F4"/>
    <mergeCell ref="B6:C6"/>
  </mergeCells>
  <dataValidations disablePrompts="1" count="4">
    <dataValidation type="list" allowBlank="1" showInputMessage="1" showErrorMessage="1" sqref="I15:I18 C15" xr:uid="{DC732174-3AB6-4A99-8238-CEBBAD7097C0}">
      <formula1>$I$15:$I$18</formula1>
    </dataValidation>
    <dataValidation type="list" allowBlank="1" showInputMessage="1" showErrorMessage="1" sqref="I2:I13 B6" xr:uid="{F5668DC6-FC8C-4B23-AECE-B33B9C66C327}">
      <formula1>$I$2:$I$13</formula1>
    </dataValidation>
    <dataValidation type="list" allowBlank="1" showInputMessage="1" showErrorMessage="1" sqref="Q21" xr:uid="{1CE30ED6-CFB3-431B-A6BC-2053D0598525}">
      <formula1>"""Data_Validation"""</formula1>
    </dataValidation>
    <dataValidation allowBlank="1" showInputMessage="1" showErrorMessage="1" prompt="Click cell to left to change selection." sqref="D6 D15" xr:uid="{DD9725D9-ED4E-462A-B9C0-183BB21EFE26}"/>
  </dataValidations>
  <pageMargins left="0.7" right="0.7" top="0.75" bottom="0.75" header="0.3" footer="0.3"/>
  <pageSetup orientation="portrait" verticalDpi="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04A22-37B9-4DDC-99E3-0D06A0258F05}">
  <sheetPr codeName="Sheet3">
    <pageSetUpPr fitToPage="1"/>
  </sheetPr>
  <dimension ref="A1:G61"/>
  <sheetViews>
    <sheetView showGridLines="0" zoomScaleNormal="100" workbookViewId="0">
      <selection activeCell="O2" sqref="O2"/>
    </sheetView>
  </sheetViews>
  <sheetFormatPr defaultColWidth="9.140625" defaultRowHeight="12.75" x14ac:dyDescent="0.2"/>
  <cols>
    <col min="1" max="1" width="12.7109375" style="284" customWidth="1"/>
    <col min="2" max="2" width="21" style="284" customWidth="1"/>
    <col min="3" max="3" width="13.140625" style="284" customWidth="1"/>
    <col min="4" max="4" width="12.42578125" style="284" customWidth="1"/>
    <col min="5" max="7" width="12.7109375" style="284" customWidth="1"/>
    <col min="8" max="16384" width="9.140625" style="284"/>
  </cols>
  <sheetData>
    <row r="1" spans="1:7" ht="42.75" customHeight="1" x14ac:dyDescent="0.2"/>
    <row r="2" spans="1:7" ht="16.5" customHeight="1" x14ac:dyDescent="0.25">
      <c r="A2" s="597"/>
      <c r="B2" s="598"/>
      <c r="C2" s="599"/>
      <c r="D2" s="599"/>
      <c r="E2" s="599"/>
      <c r="F2" s="599"/>
    </row>
    <row r="3" spans="1:7" ht="16.5" customHeight="1" x14ac:dyDescent="0.2">
      <c r="A3" s="600" t="s">
        <v>106</v>
      </c>
      <c r="B3" s="600"/>
      <c r="C3" s="599"/>
      <c r="D3" s="599"/>
      <c r="E3" s="599"/>
      <c r="F3" s="599"/>
    </row>
    <row r="4" spans="1:7" s="280" customFormat="1" ht="14.1" customHeight="1" x14ac:dyDescent="0.2">
      <c r="A4" s="590" t="s">
        <v>107</v>
      </c>
      <c r="B4" s="590"/>
      <c r="C4" s="237"/>
      <c r="D4" s="279" t="s">
        <v>108</v>
      </c>
      <c r="E4" s="590" t="s">
        <v>109</v>
      </c>
      <c r="F4" s="590"/>
    </row>
    <row r="5" spans="1:7" s="280" customFormat="1" ht="14.1" customHeight="1" x14ac:dyDescent="0.2">
      <c r="A5" s="590" t="s">
        <v>110</v>
      </c>
      <c r="B5" s="590"/>
      <c r="C5" s="237"/>
      <c r="D5" s="279" t="s">
        <v>111</v>
      </c>
      <c r="E5" s="591">
        <f ca="1">TODAY()</f>
        <v>45198</v>
      </c>
      <c r="F5" s="591"/>
    </row>
    <row r="6" spans="1:7" s="280" customFormat="1" ht="14.1" customHeight="1" x14ac:dyDescent="0.2">
      <c r="A6" s="590" t="s">
        <v>112</v>
      </c>
      <c r="B6" s="590"/>
      <c r="C6" s="592" t="s">
        <v>113</v>
      </c>
      <c r="D6" s="592"/>
      <c r="E6" s="590" t="s">
        <v>114</v>
      </c>
      <c r="F6" s="590"/>
    </row>
    <row r="7" spans="1:7" s="280" customFormat="1" ht="14.1" customHeight="1" x14ac:dyDescent="0.2">
      <c r="A7" s="496" t="s">
        <v>115</v>
      </c>
      <c r="B7" s="590"/>
      <c r="C7" s="593" t="s">
        <v>116</v>
      </c>
      <c r="D7" s="593"/>
      <c r="E7" s="236">
        <f ca="1">TODAY()+30</f>
        <v>45228</v>
      </c>
      <c r="F7" s="235"/>
    </row>
    <row r="8" spans="1:7" s="280" customFormat="1" ht="14.1" customHeight="1" x14ac:dyDescent="0.2">
      <c r="A8" s="594"/>
      <c r="B8" s="594"/>
      <c r="C8" s="594"/>
      <c r="D8" s="594"/>
      <c r="E8" s="594"/>
      <c r="F8" s="594"/>
    </row>
    <row r="9" spans="1:7" s="280" customFormat="1" ht="14.1" customHeight="1" x14ac:dyDescent="0.2">
      <c r="A9" s="234" t="s">
        <v>87</v>
      </c>
      <c r="B9" s="697"/>
      <c r="C9" s="697"/>
      <c r="D9" s="233"/>
      <c r="E9" s="583"/>
      <c r="F9" s="583"/>
    </row>
    <row r="10" spans="1:7" s="280" customFormat="1" ht="14.1" customHeight="1" x14ac:dyDescent="0.2">
      <c r="A10" s="232"/>
      <c r="B10" s="698" t="s">
        <v>293</v>
      </c>
      <c r="C10" s="697"/>
      <c r="D10" s="278"/>
      <c r="E10" s="583"/>
      <c r="F10" s="583"/>
    </row>
    <row r="11" spans="1:7" s="280" customFormat="1" ht="14.1" customHeight="1" x14ac:dyDescent="0.2">
      <c r="A11" s="278"/>
      <c r="B11" s="697"/>
      <c r="C11" s="697"/>
      <c r="D11" s="278"/>
      <c r="E11" s="583"/>
      <c r="F11" s="583"/>
    </row>
    <row r="12" spans="1:7" s="280" customFormat="1" ht="14.1" customHeight="1" x14ac:dyDescent="0.2">
      <c r="A12" s="278"/>
      <c r="B12" s="697" t="s">
        <v>118</v>
      </c>
      <c r="C12" s="697"/>
      <c r="D12" s="278"/>
      <c r="E12" s="583"/>
      <c r="F12" s="583"/>
    </row>
    <row r="13" spans="1:7" s="280" customFormat="1" ht="14.1" customHeight="1" x14ac:dyDescent="0.2">
      <c r="A13" s="278"/>
      <c r="B13" s="697" t="s">
        <v>119</v>
      </c>
      <c r="C13" s="697"/>
      <c r="D13" s="278"/>
      <c r="E13" s="583"/>
      <c r="F13" s="583"/>
    </row>
    <row r="14" spans="1:7" s="280" customFormat="1" ht="14.1" customHeight="1" thickBot="1" x14ac:dyDescent="0.25">
      <c r="A14" s="585" t="s">
        <v>360</v>
      </c>
      <c r="B14" s="585"/>
      <c r="C14" s="585"/>
      <c r="D14" s="585"/>
      <c r="E14" s="585"/>
      <c r="F14" s="585"/>
    </row>
    <row r="15" spans="1:7" ht="22.5" x14ac:dyDescent="0.2">
      <c r="A15" s="289" t="s">
        <v>121</v>
      </c>
      <c r="B15" s="289" t="s">
        <v>122</v>
      </c>
      <c r="C15" s="275" t="s">
        <v>123</v>
      </c>
      <c r="D15" s="275" t="s">
        <v>124</v>
      </c>
      <c r="E15" s="275" t="s">
        <v>125</v>
      </c>
      <c r="F15" s="275" t="s">
        <v>126</v>
      </c>
      <c r="G15" s="289" t="s">
        <v>127</v>
      </c>
    </row>
    <row r="16" spans="1:7" ht="15.95" customHeight="1" x14ac:dyDescent="0.2">
      <c r="A16" s="220" t="s">
        <v>370</v>
      </c>
      <c r="B16" s="220"/>
      <c r="C16" s="220"/>
      <c r="D16" s="220"/>
      <c r="E16" s="229"/>
      <c r="F16" s="220" t="s">
        <v>128</v>
      </c>
      <c r="G16" s="229"/>
    </row>
    <row r="17" spans="1:7" ht="15.95" customHeight="1" thickBot="1" x14ac:dyDescent="0.25">
      <c r="A17" s="703"/>
      <c r="B17" s="703"/>
      <c r="C17" s="594"/>
      <c r="D17" s="594"/>
      <c r="E17" s="594"/>
      <c r="F17" s="594"/>
      <c r="G17" s="594"/>
    </row>
    <row r="18" spans="1:7" ht="15.95" customHeight="1" x14ac:dyDescent="0.2">
      <c r="A18" s="274" t="s">
        <v>96</v>
      </c>
      <c r="B18" s="274" t="s">
        <v>129</v>
      </c>
      <c r="C18" s="587" t="s">
        <v>130</v>
      </c>
      <c r="D18" s="588"/>
      <c r="E18" s="314" t="s">
        <v>131</v>
      </c>
      <c r="F18" s="289" t="s">
        <v>132</v>
      </c>
      <c r="G18" s="289" t="s">
        <v>133</v>
      </c>
    </row>
    <row r="19" spans="1:7" ht="15.95" customHeight="1" x14ac:dyDescent="0.2">
      <c r="A19" s="313"/>
      <c r="B19" s="312" t="s">
        <v>369</v>
      </c>
      <c r="C19" s="704" t="s">
        <v>323</v>
      </c>
      <c r="D19" s="705"/>
      <c r="E19" s="311">
        <v>3</v>
      </c>
      <c r="F19" s="310"/>
      <c r="G19" s="309">
        <f>SUM(A19)*E19</f>
        <v>0</v>
      </c>
    </row>
    <row r="20" spans="1:7" ht="15.95" customHeight="1" x14ac:dyDescent="0.2">
      <c r="A20" s="313"/>
      <c r="B20" s="312" t="s">
        <v>358</v>
      </c>
      <c r="C20" s="704" t="s">
        <v>197</v>
      </c>
      <c r="D20" s="705"/>
      <c r="E20" s="311">
        <v>3</v>
      </c>
      <c r="F20" s="310"/>
      <c r="G20" s="309">
        <f>SUM(A20)*E20</f>
        <v>0</v>
      </c>
    </row>
    <row r="21" spans="1:7" ht="15.95" customHeight="1" x14ac:dyDescent="0.2">
      <c r="A21" s="302"/>
      <c r="B21" s="301" t="s">
        <v>357</v>
      </c>
      <c r="C21" s="700" t="s">
        <v>352</v>
      </c>
      <c r="D21" s="700"/>
      <c r="E21" s="307"/>
      <c r="F21" s="227"/>
      <c r="G21" s="297">
        <f>SUM(A21)*E21</f>
        <v>0</v>
      </c>
    </row>
    <row r="22" spans="1:7" ht="15.95" customHeight="1" x14ac:dyDescent="0.2">
      <c r="A22" s="302"/>
      <c r="B22" s="301" t="s">
        <v>356</v>
      </c>
      <c r="C22" s="700" t="s">
        <v>355</v>
      </c>
      <c r="D22" s="700"/>
      <c r="E22" s="304">
        <v>1.5</v>
      </c>
      <c r="F22" s="227"/>
      <c r="G22" s="297">
        <f>SUM(A22)*E22</f>
        <v>0</v>
      </c>
    </row>
    <row r="23" spans="1:7" ht="15.95" customHeight="1" x14ac:dyDescent="0.2">
      <c r="A23" s="302"/>
      <c r="B23" s="301" t="s">
        <v>354</v>
      </c>
      <c r="C23" s="700" t="s">
        <v>199</v>
      </c>
      <c r="D23" s="700"/>
      <c r="E23" s="304">
        <v>2.5</v>
      </c>
      <c r="F23" s="227"/>
      <c r="G23" s="308" t="str">
        <f t="shared" ref="G23:G30" si="0">IF(SUM(A23)&gt;0,SUM((A23*E23)-F23),"")</f>
        <v/>
      </c>
    </row>
    <row r="24" spans="1:7" ht="15.95" customHeight="1" x14ac:dyDescent="0.2">
      <c r="A24" s="302"/>
      <c r="B24" s="301" t="s">
        <v>201</v>
      </c>
      <c r="C24" s="700" t="s">
        <v>202</v>
      </c>
      <c r="D24" s="700"/>
      <c r="E24" s="304">
        <v>45</v>
      </c>
      <c r="F24" s="227"/>
      <c r="G24" s="297" t="str">
        <f t="shared" si="0"/>
        <v/>
      </c>
    </row>
    <row r="25" spans="1:7" ht="15.95" customHeight="1" x14ac:dyDescent="0.2">
      <c r="A25" s="302"/>
      <c r="B25" s="301" t="s">
        <v>203</v>
      </c>
      <c r="C25" s="700" t="s">
        <v>202</v>
      </c>
      <c r="D25" s="700"/>
      <c r="E25" s="304">
        <v>60</v>
      </c>
      <c r="F25" s="227"/>
      <c r="G25" s="297" t="str">
        <f t="shared" si="0"/>
        <v/>
      </c>
    </row>
    <row r="26" spans="1:7" ht="15.95" customHeight="1" x14ac:dyDescent="0.2">
      <c r="A26" s="302"/>
      <c r="B26" s="301" t="s">
        <v>353</v>
      </c>
      <c r="C26" s="700" t="s">
        <v>352</v>
      </c>
      <c r="D26" s="700"/>
      <c r="E26" s="307"/>
      <c r="F26" s="227"/>
      <c r="G26" s="297" t="str">
        <f t="shared" si="0"/>
        <v/>
      </c>
    </row>
    <row r="27" spans="1:7" ht="15.95" customHeight="1" x14ac:dyDescent="0.2">
      <c r="A27" s="302"/>
      <c r="B27" s="301" t="s">
        <v>351</v>
      </c>
      <c r="C27" s="700" t="s">
        <v>206</v>
      </c>
      <c r="D27" s="700"/>
      <c r="E27" s="304">
        <v>19.5</v>
      </c>
      <c r="F27" s="227"/>
      <c r="G27" s="297" t="str">
        <f t="shared" si="0"/>
        <v/>
      </c>
    </row>
    <row r="28" spans="1:7" ht="15.95" customHeight="1" x14ac:dyDescent="0.2">
      <c r="A28" s="302"/>
      <c r="B28" s="301" t="s">
        <v>350</v>
      </c>
      <c r="C28" s="700" t="s">
        <v>206</v>
      </c>
      <c r="D28" s="700"/>
      <c r="E28" s="304">
        <v>6</v>
      </c>
      <c r="F28" s="227"/>
      <c r="G28" s="297" t="str">
        <f t="shared" si="0"/>
        <v/>
      </c>
    </row>
    <row r="29" spans="1:7" ht="15.95" customHeight="1" x14ac:dyDescent="0.2">
      <c r="A29" s="302"/>
      <c r="B29" s="301" t="s">
        <v>208</v>
      </c>
      <c r="C29" s="700" t="s">
        <v>209</v>
      </c>
      <c r="D29" s="700"/>
      <c r="E29" s="304">
        <v>65</v>
      </c>
      <c r="F29" s="227"/>
      <c r="G29" s="297" t="str">
        <f t="shared" si="0"/>
        <v/>
      </c>
    </row>
    <row r="30" spans="1:7" ht="15.95" customHeight="1" x14ac:dyDescent="0.2">
      <c r="A30" s="302"/>
      <c r="B30" s="301" t="s">
        <v>210</v>
      </c>
      <c r="C30" s="700" t="s">
        <v>206</v>
      </c>
      <c r="D30" s="700"/>
      <c r="E30" s="304">
        <v>6</v>
      </c>
      <c r="F30" s="227"/>
      <c r="G30" s="297" t="str">
        <f t="shared" si="0"/>
        <v/>
      </c>
    </row>
    <row r="31" spans="1:7" ht="15.95" customHeight="1" x14ac:dyDescent="0.2">
      <c r="A31" s="302" t="s">
        <v>368</v>
      </c>
      <c r="B31" s="301" t="s">
        <v>211</v>
      </c>
      <c r="C31" s="570" t="s">
        <v>349</v>
      </c>
      <c r="D31" s="571"/>
      <c r="E31" s="304" t="s">
        <v>213</v>
      </c>
      <c r="F31" s="227"/>
      <c r="G31" s="298"/>
    </row>
    <row r="32" spans="1:7" ht="15.95" customHeight="1" x14ac:dyDescent="0.2">
      <c r="A32" s="302"/>
      <c r="B32" s="301" t="s">
        <v>348</v>
      </c>
      <c r="C32" s="287" t="s">
        <v>172</v>
      </c>
      <c r="D32" s="288"/>
      <c r="E32" s="304" t="s">
        <v>213</v>
      </c>
      <c r="F32" s="227"/>
      <c r="G32" s="298"/>
    </row>
    <row r="33" spans="1:7" ht="15.95" customHeight="1" x14ac:dyDescent="0.2">
      <c r="A33" s="302"/>
      <c r="B33" s="301"/>
      <c r="C33" s="700" t="s">
        <v>215</v>
      </c>
      <c r="D33" s="700"/>
      <c r="E33" s="300"/>
      <c r="F33" s="227"/>
      <c r="G33" s="297">
        <f>SUM(G19:G32)</f>
        <v>0</v>
      </c>
    </row>
    <row r="34" spans="1:7" ht="15.95" customHeight="1" x14ac:dyDescent="0.2">
      <c r="A34" s="302"/>
      <c r="B34" s="301"/>
      <c r="C34" s="699" t="s">
        <v>216</v>
      </c>
      <c r="D34" s="699"/>
      <c r="E34" s="300"/>
      <c r="F34" s="227"/>
      <c r="G34" s="305">
        <f>G33*0.07</f>
        <v>0</v>
      </c>
    </row>
    <row r="35" spans="1:7" ht="15.95" customHeight="1" x14ac:dyDescent="0.2">
      <c r="A35" s="302"/>
      <c r="B35" s="301"/>
      <c r="C35" s="306"/>
      <c r="D35" s="306"/>
      <c r="E35" s="300"/>
      <c r="F35" s="227"/>
      <c r="G35" s="305"/>
    </row>
    <row r="36" spans="1:7" ht="15.95" customHeight="1" x14ac:dyDescent="0.2">
      <c r="A36" s="302"/>
      <c r="B36" s="301" t="s">
        <v>347</v>
      </c>
      <c r="C36" s="701" t="s">
        <v>317</v>
      </c>
      <c r="D36" s="702"/>
      <c r="E36" s="304">
        <v>55</v>
      </c>
      <c r="F36" s="227"/>
      <c r="G36" s="297">
        <f>SUM(A36)*E36</f>
        <v>0</v>
      </c>
    </row>
    <row r="37" spans="1:7" ht="15.95" customHeight="1" x14ac:dyDescent="0.2">
      <c r="A37" s="302"/>
      <c r="B37" s="301" t="s">
        <v>217</v>
      </c>
      <c r="C37" s="700" t="s">
        <v>218</v>
      </c>
      <c r="D37" s="700"/>
      <c r="E37" s="304">
        <v>55</v>
      </c>
      <c r="F37" s="227"/>
      <c r="G37" s="297" t="str">
        <f>IF(SUM(A37)&gt;0,SUM((A37*E37)-F37),"")</f>
        <v/>
      </c>
    </row>
    <row r="38" spans="1:7" ht="15.95" customHeight="1" x14ac:dyDescent="0.2">
      <c r="A38" s="302"/>
      <c r="B38" s="301" t="s">
        <v>346</v>
      </c>
      <c r="C38" s="700" t="s">
        <v>218</v>
      </c>
      <c r="D38" s="700"/>
      <c r="E38" s="304">
        <v>55</v>
      </c>
      <c r="F38" s="227"/>
      <c r="G38" s="297" t="str">
        <f>IF(SUM(A38)&gt;0,SUM((A38*E38)-F38),"")</f>
        <v/>
      </c>
    </row>
    <row r="39" spans="1:7" ht="15.95" customHeight="1" x14ac:dyDescent="0.2">
      <c r="A39" s="302"/>
      <c r="B39" s="301" t="s">
        <v>220</v>
      </c>
      <c r="C39" s="700" t="s">
        <v>218</v>
      </c>
      <c r="D39" s="700"/>
      <c r="E39" s="304">
        <v>55</v>
      </c>
      <c r="F39" s="227"/>
      <c r="G39" s="297" t="str">
        <f>IF(SUM(A39)&gt;0,SUM((A39*E39)-F39),"")</f>
        <v/>
      </c>
    </row>
    <row r="40" spans="1:7" ht="15.95" customHeight="1" x14ac:dyDescent="0.2">
      <c r="A40" s="302"/>
      <c r="B40" s="301" t="s">
        <v>221</v>
      </c>
      <c r="C40" s="570" t="s">
        <v>218</v>
      </c>
      <c r="D40" s="571"/>
      <c r="E40" s="304">
        <v>70</v>
      </c>
      <c r="F40" s="227"/>
      <c r="G40" s="297" t="str">
        <f>IF(SUM(A40)&gt;0,SUM((A40*E40)-F40),"")</f>
        <v/>
      </c>
    </row>
    <row r="41" spans="1:7" ht="15.95" customHeight="1" x14ac:dyDescent="0.2">
      <c r="A41" s="302"/>
      <c r="B41" s="301" t="s">
        <v>222</v>
      </c>
      <c r="C41" s="700">
        <v>120</v>
      </c>
      <c r="D41" s="700"/>
      <c r="E41" s="304">
        <v>11</v>
      </c>
      <c r="F41" s="227"/>
      <c r="G41" s="297">
        <f>C41+(A41*E41)</f>
        <v>120</v>
      </c>
    </row>
    <row r="42" spans="1:7" ht="15.95" customHeight="1" x14ac:dyDescent="0.2">
      <c r="A42" s="302"/>
      <c r="B42" s="301"/>
      <c r="C42" s="700" t="s">
        <v>223</v>
      </c>
      <c r="D42" s="700"/>
      <c r="E42" s="304"/>
      <c r="F42" s="227"/>
      <c r="G42" s="297">
        <f>SUM(G37:G41)</f>
        <v>120</v>
      </c>
    </row>
    <row r="43" spans="1:7" ht="15.95" customHeight="1" x14ac:dyDescent="0.2">
      <c r="A43" s="302"/>
      <c r="B43" s="301"/>
      <c r="C43" s="700" t="s">
        <v>224</v>
      </c>
      <c r="D43" s="700"/>
      <c r="E43" s="304"/>
      <c r="F43" s="227"/>
      <c r="G43" s="297">
        <f>G33+G42</f>
        <v>120</v>
      </c>
    </row>
    <row r="44" spans="1:7" ht="15.95" customHeight="1" x14ac:dyDescent="0.2">
      <c r="A44" s="302"/>
      <c r="B44" s="301"/>
      <c r="C44" s="287" t="s">
        <v>225</v>
      </c>
      <c r="D44" s="288"/>
      <c r="E44" s="304">
        <v>0.4</v>
      </c>
      <c r="F44" s="227"/>
      <c r="G44" s="297">
        <f>G43*E44</f>
        <v>48</v>
      </c>
    </row>
    <row r="45" spans="1:7" ht="15.95" customHeight="1" x14ac:dyDescent="0.2">
      <c r="A45" s="302"/>
      <c r="B45" s="301"/>
      <c r="C45" s="707" t="s">
        <v>226</v>
      </c>
      <c r="D45" s="707"/>
      <c r="E45" s="300"/>
      <c r="F45" s="227"/>
      <c r="G45" s="303">
        <f>G43+G44</f>
        <v>168</v>
      </c>
    </row>
    <row r="46" spans="1:7" ht="15.95" customHeight="1" x14ac:dyDescent="0.2">
      <c r="A46" s="302"/>
      <c r="B46" s="301"/>
      <c r="C46" s="276"/>
      <c r="D46" s="277"/>
      <c r="E46" s="300"/>
      <c r="F46" s="227"/>
      <c r="G46" s="297"/>
    </row>
    <row r="47" spans="1:7" ht="15.95" customHeight="1" x14ac:dyDescent="0.2">
      <c r="A47" s="302"/>
      <c r="B47" s="301" t="s">
        <v>171</v>
      </c>
      <c r="C47" s="285"/>
      <c r="D47" s="286"/>
      <c r="E47" s="300"/>
      <c r="F47" s="227"/>
      <c r="G47" s="298"/>
    </row>
    <row r="48" spans="1:7" ht="15.95" customHeight="1" x14ac:dyDescent="0.2">
      <c r="A48" s="302"/>
      <c r="B48" s="301" t="s">
        <v>174</v>
      </c>
      <c r="C48" s="285"/>
      <c r="D48" s="286"/>
      <c r="E48" s="300"/>
      <c r="F48" s="227"/>
      <c r="G48" s="298"/>
    </row>
    <row r="49" spans="1:7" ht="15.95" customHeight="1" x14ac:dyDescent="0.2">
      <c r="A49" s="302"/>
      <c r="B49" s="301"/>
      <c r="C49" s="285"/>
      <c r="D49" s="286"/>
      <c r="E49" s="300"/>
      <c r="F49" s="227"/>
      <c r="G49" s="297"/>
    </row>
    <row r="50" spans="1:7" x14ac:dyDescent="0.2">
      <c r="G50" s="299"/>
    </row>
    <row r="51" spans="1:7" ht="15.95" customHeight="1" x14ac:dyDescent="0.2">
      <c r="A51" s="216"/>
      <c r="B51" s="203"/>
      <c r="C51" s="203"/>
      <c r="D51" s="566" t="s">
        <v>177</v>
      </c>
      <c r="E51" s="566"/>
      <c r="F51" s="227"/>
      <c r="G51" s="298">
        <v>0</v>
      </c>
    </row>
    <row r="52" spans="1:7" ht="15.95" customHeight="1" x14ac:dyDescent="0.2">
      <c r="A52" s="280"/>
      <c r="B52" s="280"/>
      <c r="C52" s="280"/>
      <c r="D52" s="280"/>
      <c r="E52" s="280"/>
      <c r="F52" s="283" t="s">
        <v>178</v>
      </c>
      <c r="G52" s="297">
        <f>(G34+G45+G47+G48)-G51</f>
        <v>168</v>
      </c>
    </row>
    <row r="53" spans="1:7" ht="15.95" customHeight="1" x14ac:dyDescent="0.2">
      <c r="A53" s="280"/>
      <c r="B53" s="280"/>
      <c r="C53" s="280"/>
      <c r="D53" s="280"/>
      <c r="E53" s="280"/>
      <c r="F53" s="212" t="s">
        <v>27</v>
      </c>
      <c r="G53" s="297">
        <f>G52*0.05</f>
        <v>8.4</v>
      </c>
    </row>
    <row r="54" spans="1:7" ht="15.95" customHeight="1" x14ac:dyDescent="0.2">
      <c r="A54" s="280"/>
      <c r="B54" s="280"/>
      <c r="C54" s="280"/>
      <c r="D54" s="280"/>
      <c r="E54" s="280"/>
      <c r="F54" s="283" t="s">
        <v>179</v>
      </c>
      <c r="G54" s="296">
        <f>G52+G53</f>
        <v>176.4</v>
      </c>
    </row>
    <row r="55" spans="1:7" ht="15.95" customHeight="1" x14ac:dyDescent="0.2">
      <c r="A55" s="209"/>
      <c r="B55" s="209"/>
      <c r="C55" s="209"/>
      <c r="D55" s="280"/>
      <c r="E55" s="206"/>
      <c r="F55" s="208"/>
    </row>
    <row r="56" spans="1:7" ht="15.95" customHeight="1" x14ac:dyDescent="0.2">
      <c r="A56" s="204"/>
      <c r="B56" s="207"/>
      <c r="C56" s="203"/>
      <c r="D56" s="280"/>
      <c r="E56" s="206"/>
      <c r="F56" s="205" t="str">
        <f>IF(SUM(F54)&gt;0,SUM((F54*F55)+F54),"")</f>
        <v/>
      </c>
    </row>
    <row r="57" spans="1:7" ht="15.95" customHeight="1" x14ac:dyDescent="0.2">
      <c r="A57" s="204"/>
      <c r="B57" s="203"/>
      <c r="C57" s="203"/>
      <c r="D57" s="280"/>
      <c r="E57" s="280"/>
      <c r="F57" s="280"/>
    </row>
    <row r="58" spans="1:7" ht="15.95" customHeight="1" x14ac:dyDescent="0.2">
      <c r="B58" s="567"/>
      <c r="C58" s="706"/>
      <c r="D58" s="706"/>
      <c r="E58" s="706"/>
    </row>
    <row r="59" spans="1:7" ht="15.95" customHeight="1" x14ac:dyDescent="0.2">
      <c r="B59" s="202"/>
      <c r="C59" s="201"/>
      <c r="D59" s="201"/>
      <c r="E59" s="201"/>
    </row>
    <row r="60" spans="1:7" ht="10.5" customHeight="1" x14ac:dyDescent="0.2"/>
    <row r="61" spans="1:7" x14ac:dyDescent="0.2">
      <c r="A61" s="200"/>
      <c r="B61" s="282"/>
      <c r="C61" s="282"/>
      <c r="D61" s="282"/>
      <c r="E61" s="282"/>
      <c r="F61" s="282"/>
    </row>
  </sheetData>
  <sheetProtection selectLockedCells="1"/>
  <mergeCells count="53">
    <mergeCell ref="B58:E58"/>
    <mergeCell ref="C39:D39"/>
    <mergeCell ref="C45:D45"/>
    <mergeCell ref="D51:E51"/>
    <mergeCell ref="C42:D42"/>
    <mergeCell ref="C43:D43"/>
    <mergeCell ref="C40:D40"/>
    <mergeCell ref="C41:D41"/>
    <mergeCell ref="C22:D22"/>
    <mergeCell ref="C27:D27"/>
    <mergeCell ref="C28:D28"/>
    <mergeCell ref="C30:D30"/>
    <mergeCell ref="C23:D23"/>
    <mergeCell ref="C29:D29"/>
    <mergeCell ref="C18:D18"/>
    <mergeCell ref="C21:D21"/>
    <mergeCell ref="A17:G17"/>
    <mergeCell ref="E11:F11"/>
    <mergeCell ref="A14:F14"/>
    <mergeCell ref="C19:D19"/>
    <mergeCell ref="C20:D20"/>
    <mergeCell ref="C34:D34"/>
    <mergeCell ref="C37:D37"/>
    <mergeCell ref="C38:D38"/>
    <mergeCell ref="C24:D24"/>
    <mergeCell ref="C25:D25"/>
    <mergeCell ref="C26:D26"/>
    <mergeCell ref="C31:D31"/>
    <mergeCell ref="C33:D33"/>
    <mergeCell ref="C36:D36"/>
    <mergeCell ref="B10:C10"/>
    <mergeCell ref="B12:C12"/>
    <mergeCell ref="B13:C13"/>
    <mergeCell ref="E10:F10"/>
    <mergeCell ref="E12:F12"/>
    <mergeCell ref="E13:F13"/>
    <mergeCell ref="B11:C11"/>
    <mergeCell ref="C2:F2"/>
    <mergeCell ref="A3:B3"/>
    <mergeCell ref="A2:B2"/>
    <mergeCell ref="E9:F9"/>
    <mergeCell ref="E4:F4"/>
    <mergeCell ref="E5:F5"/>
    <mergeCell ref="E6:F6"/>
    <mergeCell ref="A4:B4"/>
    <mergeCell ref="C3:F3"/>
    <mergeCell ref="B9:C9"/>
    <mergeCell ref="C6:D6"/>
    <mergeCell ref="A8:F8"/>
    <mergeCell ref="A6:B6"/>
    <mergeCell ref="A7:B7"/>
    <mergeCell ref="A5:B5"/>
    <mergeCell ref="C7:D7"/>
  </mergeCells>
  <hyperlinks>
    <hyperlink ref="A7" r:id="rId1" xr:uid="{0088543E-1075-444C-B4BF-5294C6E06A42}"/>
  </hyperlinks>
  <printOptions horizontalCentered="1"/>
  <pageMargins left="0.74803149606299213" right="0.74803149606299213" top="0.51181102362204722" bottom="0.51181102362204722" header="0.51181102362204722" footer="0.51181102362204722"/>
  <pageSetup scale="77" orientation="portrait" r:id="rId2"/>
  <headerFooter alignWithMargins="0"/>
  <drawing r:id="rId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395F67-ADB7-4B69-B713-E4D099BC8BA0}">
  <sheetPr codeName="Sheet5">
    <pageSetUpPr fitToPage="1"/>
  </sheetPr>
  <dimension ref="A1:G61"/>
  <sheetViews>
    <sheetView showGridLines="0" zoomScaleNormal="100" workbookViewId="0">
      <selection activeCell="O2" sqref="O2"/>
    </sheetView>
  </sheetViews>
  <sheetFormatPr defaultColWidth="9.140625" defaultRowHeight="12.75" x14ac:dyDescent="0.2"/>
  <cols>
    <col min="1" max="1" width="12.7109375" style="284" customWidth="1"/>
    <col min="2" max="2" width="21" style="284" customWidth="1"/>
    <col min="3" max="3" width="13.140625" style="284" customWidth="1"/>
    <col min="4" max="4" width="12.42578125" style="284" customWidth="1"/>
    <col min="5" max="7" width="12.7109375" style="284" customWidth="1"/>
    <col min="8" max="16384" width="9.140625" style="284"/>
  </cols>
  <sheetData>
    <row r="1" spans="1:7" ht="42.75" customHeight="1" x14ac:dyDescent="0.2"/>
    <row r="2" spans="1:7" ht="16.5" customHeight="1" x14ac:dyDescent="0.25">
      <c r="A2" s="597"/>
      <c r="B2" s="598"/>
      <c r="C2" s="599"/>
      <c r="D2" s="599"/>
      <c r="E2" s="599"/>
      <c r="F2" s="599"/>
    </row>
    <row r="3" spans="1:7" ht="16.5" customHeight="1" x14ac:dyDescent="0.2">
      <c r="A3" s="600" t="s">
        <v>106</v>
      </c>
      <c r="B3" s="600"/>
      <c r="C3" s="599"/>
      <c r="D3" s="599"/>
      <c r="E3" s="599"/>
      <c r="F3" s="599"/>
    </row>
    <row r="4" spans="1:7" s="280" customFormat="1" ht="14.1" customHeight="1" x14ac:dyDescent="0.2">
      <c r="A4" s="590" t="s">
        <v>107</v>
      </c>
      <c r="B4" s="590"/>
      <c r="C4" s="237"/>
      <c r="D4" s="279" t="s">
        <v>108</v>
      </c>
      <c r="E4" s="590" t="s">
        <v>109</v>
      </c>
      <c r="F4" s="590"/>
    </row>
    <row r="5" spans="1:7" s="280" customFormat="1" ht="14.1" customHeight="1" x14ac:dyDescent="0.2">
      <c r="A5" s="590" t="s">
        <v>110</v>
      </c>
      <c r="B5" s="590"/>
      <c r="C5" s="237"/>
      <c r="D5" s="279" t="s">
        <v>111</v>
      </c>
      <c r="E5" s="591">
        <f ca="1">TODAY()</f>
        <v>45198</v>
      </c>
      <c r="F5" s="591"/>
    </row>
    <row r="6" spans="1:7" s="280" customFormat="1" ht="14.1" customHeight="1" x14ac:dyDescent="0.2">
      <c r="A6" s="590" t="s">
        <v>112</v>
      </c>
      <c r="B6" s="590"/>
      <c r="C6" s="592" t="s">
        <v>113</v>
      </c>
      <c r="D6" s="592"/>
      <c r="E6" s="590" t="s">
        <v>114</v>
      </c>
      <c r="F6" s="590"/>
    </row>
    <row r="7" spans="1:7" s="280" customFormat="1" ht="14.1" customHeight="1" x14ac:dyDescent="0.2">
      <c r="A7" s="496" t="s">
        <v>115</v>
      </c>
      <c r="B7" s="590"/>
      <c r="C7" s="593" t="s">
        <v>116</v>
      </c>
      <c r="D7" s="593"/>
      <c r="E7" s="236">
        <f ca="1">TODAY()+30</f>
        <v>45228</v>
      </c>
      <c r="F7" s="235"/>
    </row>
    <row r="8" spans="1:7" s="280" customFormat="1" ht="14.1" customHeight="1" x14ac:dyDescent="0.2">
      <c r="A8" s="594"/>
      <c r="B8" s="594"/>
      <c r="C8" s="594"/>
      <c r="D8" s="594"/>
      <c r="E8" s="594"/>
      <c r="F8" s="594"/>
    </row>
    <row r="9" spans="1:7" s="280" customFormat="1" ht="14.1" customHeight="1" x14ac:dyDescent="0.2">
      <c r="A9" s="234" t="s">
        <v>87</v>
      </c>
      <c r="B9" s="697"/>
      <c r="C9" s="697"/>
      <c r="D9" s="233"/>
      <c r="E9" s="583"/>
      <c r="F9" s="583"/>
    </row>
    <row r="10" spans="1:7" s="280" customFormat="1" ht="14.1" customHeight="1" x14ac:dyDescent="0.2">
      <c r="A10" s="232"/>
      <c r="B10" s="698" t="s">
        <v>293</v>
      </c>
      <c r="C10" s="697"/>
      <c r="D10" s="278"/>
      <c r="E10" s="583"/>
      <c r="F10" s="583"/>
    </row>
    <row r="11" spans="1:7" s="280" customFormat="1" ht="14.1" customHeight="1" x14ac:dyDescent="0.2">
      <c r="A11" s="278"/>
      <c r="B11" s="697"/>
      <c r="C11" s="697"/>
      <c r="D11" s="278"/>
      <c r="E11" s="583"/>
      <c r="F11" s="583"/>
    </row>
    <row r="12" spans="1:7" s="280" customFormat="1" ht="14.1" customHeight="1" x14ac:dyDescent="0.2">
      <c r="A12" s="278"/>
      <c r="B12" s="697" t="s">
        <v>118</v>
      </c>
      <c r="C12" s="697"/>
      <c r="D12" s="278"/>
      <c r="E12" s="583"/>
      <c r="F12" s="583"/>
    </row>
    <row r="13" spans="1:7" s="280" customFormat="1" ht="14.1" customHeight="1" x14ac:dyDescent="0.2">
      <c r="A13" s="278"/>
      <c r="B13" s="697" t="s">
        <v>119</v>
      </c>
      <c r="C13" s="697"/>
      <c r="D13" s="278"/>
      <c r="E13" s="583"/>
      <c r="F13" s="583"/>
    </row>
    <row r="14" spans="1:7" s="280" customFormat="1" ht="14.1" customHeight="1" thickBot="1" x14ac:dyDescent="0.25">
      <c r="A14" s="585" t="s">
        <v>360</v>
      </c>
      <c r="B14" s="585"/>
      <c r="C14" s="585"/>
      <c r="D14" s="585"/>
      <c r="E14" s="585"/>
      <c r="F14" s="585"/>
    </row>
    <row r="15" spans="1:7" ht="22.5" x14ac:dyDescent="0.2">
      <c r="A15" s="289" t="s">
        <v>121</v>
      </c>
      <c r="B15" s="289" t="s">
        <v>122</v>
      </c>
      <c r="C15" s="275" t="s">
        <v>123</v>
      </c>
      <c r="D15" s="275" t="s">
        <v>124</v>
      </c>
      <c r="E15" s="275" t="s">
        <v>125</v>
      </c>
      <c r="F15" s="275" t="s">
        <v>126</v>
      </c>
      <c r="G15" s="289" t="s">
        <v>127</v>
      </c>
    </row>
    <row r="16" spans="1:7" ht="15.95" customHeight="1" x14ac:dyDescent="0.2">
      <c r="A16" s="220"/>
      <c r="B16" s="220"/>
      <c r="C16" s="220"/>
      <c r="D16" s="220"/>
      <c r="E16" s="229"/>
      <c r="F16" s="220" t="s">
        <v>128</v>
      </c>
      <c r="G16" s="229"/>
    </row>
    <row r="17" spans="1:7" ht="15.95" customHeight="1" thickBot="1" x14ac:dyDescent="0.25">
      <c r="A17" s="703"/>
      <c r="B17" s="703"/>
      <c r="C17" s="594"/>
      <c r="D17" s="594"/>
      <c r="E17" s="594"/>
      <c r="F17" s="594"/>
      <c r="G17" s="594"/>
    </row>
    <row r="18" spans="1:7" ht="15.95" customHeight="1" x14ac:dyDescent="0.2">
      <c r="A18" s="274" t="s">
        <v>96</v>
      </c>
      <c r="B18" s="274" t="s">
        <v>129</v>
      </c>
      <c r="C18" s="587" t="s">
        <v>130</v>
      </c>
      <c r="D18" s="588"/>
      <c r="E18" s="314" t="s">
        <v>131</v>
      </c>
      <c r="F18" s="289" t="s">
        <v>132</v>
      </c>
      <c r="G18" s="289" t="s">
        <v>133</v>
      </c>
    </row>
    <row r="19" spans="1:7" ht="15.95" customHeight="1" x14ac:dyDescent="0.2">
      <c r="A19" s="313"/>
      <c r="B19" s="312" t="s">
        <v>359</v>
      </c>
      <c r="C19" s="704" t="s">
        <v>323</v>
      </c>
      <c r="D19" s="705"/>
      <c r="E19" s="311">
        <v>3.25</v>
      </c>
      <c r="F19" s="310"/>
      <c r="G19" s="309">
        <f>SUM(A19)*E19</f>
        <v>0</v>
      </c>
    </row>
    <row r="20" spans="1:7" ht="15.95" customHeight="1" x14ac:dyDescent="0.2">
      <c r="A20" s="313"/>
      <c r="B20" s="312" t="s">
        <v>358</v>
      </c>
      <c r="C20" s="704" t="s">
        <v>197</v>
      </c>
      <c r="D20" s="705"/>
      <c r="E20" s="311">
        <v>3.15</v>
      </c>
      <c r="F20" s="310"/>
      <c r="G20" s="309">
        <f>SUM(A20)*E20</f>
        <v>0</v>
      </c>
    </row>
    <row r="21" spans="1:7" ht="15.95" customHeight="1" x14ac:dyDescent="0.2">
      <c r="A21" s="302"/>
      <c r="B21" s="301" t="s">
        <v>357</v>
      </c>
      <c r="C21" s="700" t="s">
        <v>352</v>
      </c>
      <c r="D21" s="700"/>
      <c r="E21" s="307"/>
      <c r="F21" s="227"/>
      <c r="G21" s="297">
        <f>SUM(A21)*E21</f>
        <v>0</v>
      </c>
    </row>
    <row r="22" spans="1:7" ht="15.95" customHeight="1" x14ac:dyDescent="0.2">
      <c r="A22" s="302"/>
      <c r="B22" s="301" t="s">
        <v>356</v>
      </c>
      <c r="C22" s="700" t="s">
        <v>355</v>
      </c>
      <c r="D22" s="700"/>
      <c r="E22" s="304">
        <v>1.6</v>
      </c>
      <c r="F22" s="227"/>
      <c r="G22" s="297">
        <f>SUM(A22)*E22</f>
        <v>0</v>
      </c>
    </row>
    <row r="23" spans="1:7" ht="15.95" customHeight="1" x14ac:dyDescent="0.2">
      <c r="A23" s="302"/>
      <c r="B23" s="301" t="s">
        <v>354</v>
      </c>
      <c r="C23" s="700" t="s">
        <v>199</v>
      </c>
      <c r="D23" s="700"/>
      <c r="E23" s="304">
        <v>2.5</v>
      </c>
      <c r="F23" s="227"/>
      <c r="G23" s="308" t="str">
        <f t="shared" ref="G23:G30" si="0">IF(SUM(A23)&gt;0,SUM((A23*E23)-F23),"")</f>
        <v/>
      </c>
    </row>
    <row r="24" spans="1:7" ht="15.95" customHeight="1" x14ac:dyDescent="0.2">
      <c r="A24" s="302"/>
      <c r="B24" s="301" t="s">
        <v>201</v>
      </c>
      <c r="C24" s="700" t="s">
        <v>202</v>
      </c>
      <c r="D24" s="700"/>
      <c r="E24" s="304">
        <v>48</v>
      </c>
      <c r="F24" s="227"/>
      <c r="G24" s="297" t="str">
        <f t="shared" si="0"/>
        <v/>
      </c>
    </row>
    <row r="25" spans="1:7" ht="15.95" customHeight="1" x14ac:dyDescent="0.2">
      <c r="A25" s="302"/>
      <c r="B25" s="301" t="s">
        <v>203</v>
      </c>
      <c r="C25" s="700" t="s">
        <v>202</v>
      </c>
      <c r="D25" s="700"/>
      <c r="E25" s="304">
        <v>64</v>
      </c>
      <c r="F25" s="227"/>
      <c r="G25" s="297" t="str">
        <f t="shared" si="0"/>
        <v/>
      </c>
    </row>
    <row r="26" spans="1:7" ht="15.95" customHeight="1" x14ac:dyDescent="0.2">
      <c r="A26" s="302"/>
      <c r="B26" s="301" t="s">
        <v>353</v>
      </c>
      <c r="C26" s="700" t="s">
        <v>352</v>
      </c>
      <c r="D26" s="700"/>
      <c r="E26" s="307"/>
      <c r="F26" s="227"/>
      <c r="G26" s="297" t="str">
        <f t="shared" si="0"/>
        <v/>
      </c>
    </row>
    <row r="27" spans="1:7" ht="15.95" customHeight="1" x14ac:dyDescent="0.2">
      <c r="A27" s="302"/>
      <c r="B27" s="301" t="s">
        <v>351</v>
      </c>
      <c r="C27" s="700" t="s">
        <v>206</v>
      </c>
      <c r="D27" s="700"/>
      <c r="E27" s="304">
        <v>19.5</v>
      </c>
      <c r="F27" s="227"/>
      <c r="G27" s="297" t="str">
        <f t="shared" si="0"/>
        <v/>
      </c>
    </row>
    <row r="28" spans="1:7" ht="15.95" customHeight="1" x14ac:dyDescent="0.2">
      <c r="A28" s="302"/>
      <c r="B28" s="301" t="s">
        <v>350</v>
      </c>
      <c r="C28" s="700" t="s">
        <v>206</v>
      </c>
      <c r="D28" s="700"/>
      <c r="E28" s="304">
        <v>6</v>
      </c>
      <c r="F28" s="227"/>
      <c r="G28" s="297" t="str">
        <f t="shared" si="0"/>
        <v/>
      </c>
    </row>
    <row r="29" spans="1:7" ht="15.95" customHeight="1" x14ac:dyDescent="0.2">
      <c r="A29" s="302"/>
      <c r="B29" s="301" t="s">
        <v>208</v>
      </c>
      <c r="C29" s="700" t="s">
        <v>209</v>
      </c>
      <c r="D29" s="700"/>
      <c r="E29" s="304">
        <v>65</v>
      </c>
      <c r="F29" s="227"/>
      <c r="G29" s="297" t="str">
        <f t="shared" si="0"/>
        <v/>
      </c>
    </row>
    <row r="30" spans="1:7" ht="15.95" customHeight="1" x14ac:dyDescent="0.2">
      <c r="A30" s="302"/>
      <c r="B30" s="301" t="s">
        <v>210</v>
      </c>
      <c r="C30" s="700" t="s">
        <v>206</v>
      </c>
      <c r="D30" s="700"/>
      <c r="E30" s="304">
        <v>6</v>
      </c>
      <c r="F30" s="227"/>
      <c r="G30" s="297" t="str">
        <f t="shared" si="0"/>
        <v/>
      </c>
    </row>
    <row r="31" spans="1:7" ht="15.95" customHeight="1" x14ac:dyDescent="0.2">
      <c r="A31" s="302"/>
      <c r="B31" s="301" t="s">
        <v>211</v>
      </c>
      <c r="C31" s="570" t="s">
        <v>349</v>
      </c>
      <c r="D31" s="571"/>
      <c r="E31" s="304" t="s">
        <v>213</v>
      </c>
      <c r="F31" s="227"/>
      <c r="G31" s="298"/>
    </row>
    <row r="32" spans="1:7" ht="15.95" customHeight="1" x14ac:dyDescent="0.2">
      <c r="A32" s="302"/>
      <c r="B32" s="301" t="s">
        <v>348</v>
      </c>
      <c r="C32" s="287" t="s">
        <v>172</v>
      </c>
      <c r="D32" s="288"/>
      <c r="E32" s="304" t="s">
        <v>213</v>
      </c>
      <c r="F32" s="227"/>
      <c r="G32" s="298"/>
    </row>
    <row r="33" spans="1:7" ht="15.95" customHeight="1" x14ac:dyDescent="0.2">
      <c r="A33" s="302"/>
      <c r="B33" s="301"/>
      <c r="C33" s="700" t="s">
        <v>215</v>
      </c>
      <c r="D33" s="700"/>
      <c r="E33" s="300"/>
      <c r="F33" s="227"/>
      <c r="G33" s="297">
        <f>SUM(G19:G32)</f>
        <v>0</v>
      </c>
    </row>
    <row r="34" spans="1:7" ht="15.95" customHeight="1" x14ac:dyDescent="0.2">
      <c r="A34" s="302"/>
      <c r="B34" s="301"/>
      <c r="C34" s="699" t="s">
        <v>216</v>
      </c>
      <c r="D34" s="699"/>
      <c r="E34" s="300"/>
      <c r="F34" s="227"/>
      <c r="G34" s="305">
        <f>G33*0.07</f>
        <v>0</v>
      </c>
    </row>
    <row r="35" spans="1:7" ht="15.95" customHeight="1" x14ac:dyDescent="0.2">
      <c r="A35" s="302"/>
      <c r="B35" s="301"/>
      <c r="C35" s="306"/>
      <c r="D35" s="306"/>
      <c r="E35" s="300"/>
      <c r="F35" s="227"/>
      <c r="G35" s="305"/>
    </row>
    <row r="36" spans="1:7" ht="15.95" customHeight="1" x14ac:dyDescent="0.2">
      <c r="A36" s="302"/>
      <c r="B36" s="301" t="s">
        <v>347</v>
      </c>
      <c r="C36" s="701" t="s">
        <v>317</v>
      </c>
      <c r="D36" s="702"/>
      <c r="E36" s="304">
        <v>55</v>
      </c>
      <c r="F36" s="227"/>
      <c r="G36" s="297">
        <f>SUM(A36)*E36</f>
        <v>0</v>
      </c>
    </row>
    <row r="37" spans="1:7" ht="15.95" customHeight="1" x14ac:dyDescent="0.2">
      <c r="A37" s="302"/>
      <c r="B37" s="301" t="s">
        <v>217</v>
      </c>
      <c r="C37" s="700" t="s">
        <v>218</v>
      </c>
      <c r="D37" s="700"/>
      <c r="E37" s="304">
        <v>55</v>
      </c>
      <c r="F37" s="227"/>
      <c r="G37" s="297" t="str">
        <f>IF(SUM(A37)&gt;0,SUM((A37*E37)-F37),"")</f>
        <v/>
      </c>
    </row>
    <row r="38" spans="1:7" ht="15.95" customHeight="1" x14ac:dyDescent="0.2">
      <c r="A38" s="302"/>
      <c r="B38" s="301" t="s">
        <v>346</v>
      </c>
      <c r="C38" s="700" t="s">
        <v>218</v>
      </c>
      <c r="D38" s="700"/>
      <c r="E38" s="304">
        <v>55</v>
      </c>
      <c r="F38" s="227"/>
      <c r="G38" s="297" t="str">
        <f>IF(SUM(A38)&gt;0,SUM((A38*E38)-F38),"")</f>
        <v/>
      </c>
    </row>
    <row r="39" spans="1:7" ht="15.95" customHeight="1" x14ac:dyDescent="0.2">
      <c r="A39" s="302"/>
      <c r="B39" s="301" t="s">
        <v>220</v>
      </c>
      <c r="C39" s="700" t="s">
        <v>218</v>
      </c>
      <c r="D39" s="700"/>
      <c r="E39" s="304">
        <v>55</v>
      </c>
      <c r="F39" s="227"/>
      <c r="G39" s="297" t="str">
        <f>IF(SUM(A39)&gt;0,SUM((A39*E39)-F39),"")</f>
        <v/>
      </c>
    </row>
    <row r="40" spans="1:7" ht="15.95" customHeight="1" x14ac:dyDescent="0.2">
      <c r="A40" s="302"/>
      <c r="B40" s="301" t="s">
        <v>221</v>
      </c>
      <c r="C40" s="570" t="s">
        <v>218</v>
      </c>
      <c r="D40" s="571"/>
      <c r="E40" s="304">
        <v>70</v>
      </c>
      <c r="F40" s="227"/>
      <c r="G40" s="297" t="str">
        <f>IF(SUM(A40)&gt;0,SUM((A40*E40)-F40),"")</f>
        <v/>
      </c>
    </row>
    <row r="41" spans="1:7" ht="15.95" customHeight="1" x14ac:dyDescent="0.2">
      <c r="A41" s="302"/>
      <c r="B41" s="301" t="s">
        <v>222</v>
      </c>
      <c r="C41" s="700">
        <v>120</v>
      </c>
      <c r="D41" s="700"/>
      <c r="E41" s="304">
        <v>11</v>
      </c>
      <c r="F41" s="227"/>
      <c r="G41" s="297">
        <f>C41+(A41*E41)</f>
        <v>120</v>
      </c>
    </row>
    <row r="42" spans="1:7" ht="15.95" customHeight="1" x14ac:dyDescent="0.2">
      <c r="A42" s="302"/>
      <c r="B42" s="301"/>
      <c r="C42" s="700" t="s">
        <v>223</v>
      </c>
      <c r="D42" s="700"/>
      <c r="E42" s="304"/>
      <c r="F42" s="227"/>
      <c r="G42" s="297">
        <f>SUM(G36:G41)</f>
        <v>120</v>
      </c>
    </row>
    <row r="43" spans="1:7" ht="15.95" customHeight="1" x14ac:dyDescent="0.2">
      <c r="A43" s="302"/>
      <c r="B43" s="301"/>
      <c r="C43" s="700" t="s">
        <v>224</v>
      </c>
      <c r="D43" s="700"/>
      <c r="E43" s="304"/>
      <c r="F43" s="227"/>
      <c r="G43" s="297">
        <f>G33+G42</f>
        <v>120</v>
      </c>
    </row>
    <row r="44" spans="1:7" ht="15.95" customHeight="1" x14ac:dyDescent="0.2">
      <c r="A44" s="302"/>
      <c r="B44" s="301"/>
      <c r="C44" s="287" t="s">
        <v>225</v>
      </c>
      <c r="D44" s="288"/>
      <c r="E44" s="304">
        <v>0.4</v>
      </c>
      <c r="F44" s="227"/>
      <c r="G44" s="297">
        <f>G43*E44</f>
        <v>48</v>
      </c>
    </row>
    <row r="45" spans="1:7" ht="15.95" customHeight="1" x14ac:dyDescent="0.2">
      <c r="A45" s="302"/>
      <c r="B45" s="301"/>
      <c r="C45" s="707" t="s">
        <v>226</v>
      </c>
      <c r="D45" s="707"/>
      <c r="E45" s="300"/>
      <c r="F45" s="227"/>
      <c r="G45" s="303">
        <f>G43+G44</f>
        <v>168</v>
      </c>
    </row>
    <row r="46" spans="1:7" ht="15.95" customHeight="1" x14ac:dyDescent="0.2">
      <c r="A46" s="302"/>
      <c r="B46" s="301"/>
      <c r="C46" s="276"/>
      <c r="D46" s="277"/>
      <c r="E46" s="300"/>
      <c r="F46" s="227"/>
      <c r="G46" s="297"/>
    </row>
    <row r="47" spans="1:7" ht="15.95" customHeight="1" x14ac:dyDescent="0.2">
      <c r="A47" s="302"/>
      <c r="B47" s="301" t="s">
        <v>171</v>
      </c>
      <c r="C47" s="285"/>
      <c r="D47" s="286"/>
      <c r="E47" s="300"/>
      <c r="F47" s="227"/>
      <c r="G47" s="298"/>
    </row>
    <row r="48" spans="1:7" ht="15.95" customHeight="1" x14ac:dyDescent="0.2">
      <c r="A48" s="302"/>
      <c r="B48" s="301" t="s">
        <v>174</v>
      </c>
      <c r="C48" s="285"/>
      <c r="D48" s="286"/>
      <c r="E48" s="300"/>
      <c r="F48" s="227"/>
      <c r="G48" s="298"/>
    </row>
    <row r="49" spans="1:7" ht="15.95" customHeight="1" x14ac:dyDescent="0.2">
      <c r="A49" s="302"/>
      <c r="B49" s="301"/>
      <c r="C49" s="285"/>
      <c r="D49" s="286"/>
      <c r="E49" s="300"/>
      <c r="F49" s="227"/>
      <c r="G49" s="297"/>
    </row>
    <row r="50" spans="1:7" x14ac:dyDescent="0.2">
      <c r="G50" s="299"/>
    </row>
    <row r="51" spans="1:7" ht="15.95" customHeight="1" x14ac:dyDescent="0.2">
      <c r="A51" s="216"/>
      <c r="B51" s="203"/>
      <c r="C51" s="203"/>
      <c r="D51" s="566" t="s">
        <v>177</v>
      </c>
      <c r="E51" s="566"/>
      <c r="F51" s="227"/>
      <c r="G51" s="298">
        <v>0</v>
      </c>
    </row>
    <row r="52" spans="1:7" ht="15.95" customHeight="1" x14ac:dyDescent="0.2">
      <c r="A52" s="280"/>
      <c r="B52" s="280"/>
      <c r="C52" s="280"/>
      <c r="D52" s="280"/>
      <c r="E52" s="280"/>
      <c r="F52" s="283" t="s">
        <v>178</v>
      </c>
      <c r="G52" s="297">
        <f>(G34+G45+G47+G48)-G51</f>
        <v>168</v>
      </c>
    </row>
    <row r="53" spans="1:7" ht="15.95" customHeight="1" x14ac:dyDescent="0.2">
      <c r="A53" s="280"/>
      <c r="B53" s="280"/>
      <c r="C53" s="280"/>
      <c r="D53" s="280"/>
      <c r="E53" s="280"/>
      <c r="F53" s="212" t="s">
        <v>27</v>
      </c>
      <c r="G53" s="297">
        <f>G52*0.05</f>
        <v>8.4</v>
      </c>
    </row>
    <row r="54" spans="1:7" ht="15.95" customHeight="1" x14ac:dyDescent="0.2">
      <c r="A54" s="280"/>
      <c r="B54" s="280"/>
      <c r="C54" s="280"/>
      <c r="D54" s="280"/>
      <c r="E54" s="280"/>
      <c r="F54" s="283" t="s">
        <v>179</v>
      </c>
      <c r="G54" s="296">
        <f>G52+G53</f>
        <v>176.4</v>
      </c>
    </row>
    <row r="55" spans="1:7" ht="15.95" customHeight="1" x14ac:dyDescent="0.2">
      <c r="A55" s="209"/>
      <c r="B55" s="209"/>
      <c r="C55" s="209"/>
      <c r="D55" s="280"/>
      <c r="E55" s="206"/>
      <c r="F55" s="208"/>
    </row>
    <row r="56" spans="1:7" ht="15.95" customHeight="1" x14ac:dyDescent="0.2">
      <c r="A56" s="204"/>
      <c r="B56" s="207"/>
      <c r="C56" s="203"/>
      <c r="D56" s="280"/>
      <c r="E56" s="206"/>
      <c r="F56" s="205" t="str">
        <f>IF(SUM(F54)&gt;0,SUM((F54*F55)+F54),"")</f>
        <v/>
      </c>
    </row>
    <row r="57" spans="1:7" ht="15.95" customHeight="1" x14ac:dyDescent="0.2">
      <c r="A57" s="204"/>
      <c r="B57" s="203"/>
      <c r="C57" s="203"/>
      <c r="D57" s="280"/>
      <c r="E57" s="280"/>
      <c r="F57" s="280"/>
    </row>
    <row r="58" spans="1:7" ht="15.95" customHeight="1" x14ac:dyDescent="0.2">
      <c r="B58" s="567"/>
      <c r="C58" s="706"/>
      <c r="D58" s="706"/>
      <c r="E58" s="706"/>
    </row>
    <row r="59" spans="1:7" ht="15.95" customHeight="1" x14ac:dyDescent="0.2">
      <c r="B59" s="202"/>
      <c r="C59" s="201"/>
      <c r="D59" s="201"/>
      <c r="E59" s="201"/>
    </row>
    <row r="60" spans="1:7" ht="10.5" customHeight="1" x14ac:dyDescent="0.2"/>
    <row r="61" spans="1:7" x14ac:dyDescent="0.2">
      <c r="A61" s="200"/>
      <c r="B61" s="282"/>
      <c r="C61" s="282"/>
      <c r="D61" s="282"/>
      <c r="E61" s="282"/>
      <c r="F61" s="282"/>
    </row>
  </sheetData>
  <sheetProtection sheet="1" selectLockedCells="1"/>
  <mergeCells count="53">
    <mergeCell ref="B58:E58"/>
    <mergeCell ref="C39:D39"/>
    <mergeCell ref="C45:D45"/>
    <mergeCell ref="D51:E51"/>
    <mergeCell ref="C42:D42"/>
    <mergeCell ref="C43:D43"/>
    <mergeCell ref="C40:D40"/>
    <mergeCell ref="C41:D41"/>
    <mergeCell ref="C22:D22"/>
    <mergeCell ref="C27:D27"/>
    <mergeCell ref="C28:D28"/>
    <mergeCell ref="C30:D30"/>
    <mergeCell ref="C23:D23"/>
    <mergeCell ref="C29:D29"/>
    <mergeCell ref="C18:D18"/>
    <mergeCell ref="C21:D21"/>
    <mergeCell ref="A17:G17"/>
    <mergeCell ref="E11:F11"/>
    <mergeCell ref="A14:F14"/>
    <mergeCell ref="C19:D19"/>
    <mergeCell ref="C20:D20"/>
    <mergeCell ref="C34:D34"/>
    <mergeCell ref="C37:D37"/>
    <mergeCell ref="C38:D38"/>
    <mergeCell ref="C24:D24"/>
    <mergeCell ref="C25:D25"/>
    <mergeCell ref="C26:D26"/>
    <mergeCell ref="C31:D31"/>
    <mergeCell ref="C33:D33"/>
    <mergeCell ref="C36:D36"/>
    <mergeCell ref="B10:C10"/>
    <mergeCell ref="B12:C12"/>
    <mergeCell ref="B13:C13"/>
    <mergeCell ref="E10:F10"/>
    <mergeCell ref="E12:F12"/>
    <mergeCell ref="E13:F13"/>
    <mergeCell ref="B11:C11"/>
    <mergeCell ref="C2:F2"/>
    <mergeCell ref="A3:B3"/>
    <mergeCell ref="A2:B2"/>
    <mergeCell ref="E9:F9"/>
    <mergeCell ref="E4:F4"/>
    <mergeCell ref="E5:F5"/>
    <mergeCell ref="E6:F6"/>
    <mergeCell ref="A4:B4"/>
    <mergeCell ref="C3:F3"/>
    <mergeCell ref="B9:C9"/>
    <mergeCell ref="C6:D6"/>
    <mergeCell ref="A8:F8"/>
    <mergeCell ref="A6:B6"/>
    <mergeCell ref="A7:B7"/>
    <mergeCell ref="A5:B5"/>
    <mergeCell ref="C7:D7"/>
  </mergeCells>
  <hyperlinks>
    <hyperlink ref="A7" r:id="rId1" xr:uid="{ABA2CB93-DC4D-44E6-91A4-06BC5FEDF9BB}"/>
  </hyperlinks>
  <printOptions horizontalCentered="1"/>
  <pageMargins left="0.74803149606299213" right="0.74803149606299213" top="0.51181102362204722" bottom="0.51181102362204722" header="0.51181102362204722" footer="0.51181102362204722"/>
  <pageSetup scale="77" orientation="portrait" r:id="rId2"/>
  <headerFooter alignWithMargins="0"/>
  <drawing r:id="rId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6E6472-8CA8-4A4C-A498-B886E65B40B7}">
  <sheetPr codeName="Sheet8">
    <pageSetUpPr fitToPage="1"/>
  </sheetPr>
  <dimension ref="A1:G61"/>
  <sheetViews>
    <sheetView showGridLines="0" zoomScaleNormal="100" workbookViewId="0">
      <selection activeCell="O2" sqref="O2"/>
    </sheetView>
  </sheetViews>
  <sheetFormatPr defaultColWidth="9.140625" defaultRowHeight="12.75" x14ac:dyDescent="0.2"/>
  <cols>
    <col min="1" max="1" width="12.7109375" style="284" customWidth="1"/>
    <col min="2" max="2" width="21" style="284" customWidth="1"/>
    <col min="3" max="3" width="13.140625" style="284" customWidth="1"/>
    <col min="4" max="4" width="12.42578125" style="284" customWidth="1"/>
    <col min="5" max="7" width="12.7109375" style="284" customWidth="1"/>
    <col min="8" max="16384" width="9.140625" style="284"/>
  </cols>
  <sheetData>
    <row r="1" spans="1:7" ht="42.75" customHeight="1" x14ac:dyDescent="0.2"/>
    <row r="2" spans="1:7" ht="16.5" customHeight="1" x14ac:dyDescent="0.25">
      <c r="A2" s="597"/>
      <c r="B2" s="598"/>
      <c r="C2" s="599"/>
      <c r="D2" s="599"/>
      <c r="E2" s="599"/>
      <c r="F2" s="599"/>
    </row>
    <row r="3" spans="1:7" ht="16.5" customHeight="1" x14ac:dyDescent="0.2">
      <c r="A3" s="600" t="s">
        <v>106</v>
      </c>
      <c r="B3" s="600"/>
      <c r="C3" s="599"/>
      <c r="D3" s="599"/>
      <c r="E3" s="599"/>
      <c r="F3" s="599"/>
    </row>
    <row r="4" spans="1:7" s="280" customFormat="1" ht="14.1" customHeight="1" x14ac:dyDescent="0.2">
      <c r="A4" s="590" t="s">
        <v>107</v>
      </c>
      <c r="B4" s="590"/>
      <c r="C4" s="237"/>
      <c r="D4" s="279" t="s">
        <v>108</v>
      </c>
      <c r="E4" s="590" t="s">
        <v>109</v>
      </c>
      <c r="F4" s="590"/>
    </row>
    <row r="5" spans="1:7" s="280" customFormat="1" ht="14.1" customHeight="1" x14ac:dyDescent="0.2">
      <c r="A5" s="590" t="s">
        <v>110</v>
      </c>
      <c r="B5" s="590"/>
      <c r="C5" s="237"/>
      <c r="D5" s="279" t="s">
        <v>111</v>
      </c>
      <c r="E5" s="591">
        <f ca="1">TODAY()</f>
        <v>45198</v>
      </c>
      <c r="F5" s="591"/>
    </row>
    <row r="6" spans="1:7" s="280" customFormat="1" ht="14.1" customHeight="1" x14ac:dyDescent="0.2">
      <c r="A6" s="590" t="s">
        <v>112</v>
      </c>
      <c r="B6" s="590"/>
      <c r="C6" s="592" t="s">
        <v>113</v>
      </c>
      <c r="D6" s="592"/>
      <c r="E6" s="590" t="s">
        <v>114</v>
      </c>
      <c r="F6" s="590"/>
    </row>
    <row r="7" spans="1:7" s="280" customFormat="1" ht="14.1" customHeight="1" x14ac:dyDescent="0.2">
      <c r="A7" s="496" t="s">
        <v>115</v>
      </c>
      <c r="B7" s="590"/>
      <c r="C7" s="593" t="s">
        <v>116</v>
      </c>
      <c r="D7" s="593"/>
      <c r="E7" s="236">
        <f ca="1">TODAY()+30</f>
        <v>45228</v>
      </c>
      <c r="F7" s="235"/>
    </row>
    <row r="8" spans="1:7" s="280" customFormat="1" ht="14.1" customHeight="1" x14ac:dyDescent="0.2">
      <c r="A8" s="594"/>
      <c r="B8" s="594"/>
      <c r="C8" s="594"/>
      <c r="D8" s="594"/>
      <c r="E8" s="594"/>
      <c r="F8" s="594"/>
    </row>
    <row r="9" spans="1:7" s="280" customFormat="1" ht="14.1" customHeight="1" x14ac:dyDescent="0.2">
      <c r="A9" s="234" t="s">
        <v>87</v>
      </c>
      <c r="B9" s="697"/>
      <c r="C9" s="697"/>
      <c r="D9" s="233"/>
      <c r="E9" s="583"/>
      <c r="F9" s="583"/>
    </row>
    <row r="10" spans="1:7" s="280" customFormat="1" ht="14.1" customHeight="1" x14ac:dyDescent="0.2">
      <c r="A10" s="232"/>
      <c r="B10" s="698" t="s">
        <v>293</v>
      </c>
      <c r="C10" s="697"/>
      <c r="D10" s="278"/>
      <c r="E10" s="583"/>
      <c r="F10" s="583"/>
    </row>
    <row r="11" spans="1:7" s="280" customFormat="1" ht="14.1" customHeight="1" x14ac:dyDescent="0.2">
      <c r="A11" s="278"/>
      <c r="B11" s="697"/>
      <c r="C11" s="697"/>
      <c r="D11" s="278"/>
      <c r="E11" s="583"/>
      <c r="F11" s="583"/>
    </row>
    <row r="12" spans="1:7" s="280" customFormat="1" ht="14.1" customHeight="1" x14ac:dyDescent="0.2">
      <c r="A12" s="278"/>
      <c r="B12" s="697" t="s">
        <v>118</v>
      </c>
      <c r="C12" s="697"/>
      <c r="D12" s="278"/>
      <c r="E12" s="583"/>
      <c r="F12" s="583"/>
    </row>
    <row r="13" spans="1:7" s="280" customFormat="1" ht="14.1" customHeight="1" x14ac:dyDescent="0.2">
      <c r="A13" s="278"/>
      <c r="B13" s="697" t="s">
        <v>119</v>
      </c>
      <c r="C13" s="697"/>
      <c r="D13" s="278"/>
      <c r="E13" s="583"/>
      <c r="F13" s="583"/>
    </row>
    <row r="14" spans="1:7" s="280" customFormat="1" ht="14.1" customHeight="1" thickBot="1" x14ac:dyDescent="0.25">
      <c r="A14" s="585" t="s">
        <v>360</v>
      </c>
      <c r="B14" s="585"/>
      <c r="C14" s="585"/>
      <c r="D14" s="585"/>
      <c r="E14" s="585"/>
      <c r="F14" s="585"/>
    </row>
    <row r="15" spans="1:7" ht="22.5" x14ac:dyDescent="0.2">
      <c r="A15" s="289" t="s">
        <v>121</v>
      </c>
      <c r="B15" s="289" t="s">
        <v>122</v>
      </c>
      <c r="C15" s="275" t="s">
        <v>123</v>
      </c>
      <c r="D15" s="275" t="s">
        <v>124</v>
      </c>
      <c r="E15" s="275" t="s">
        <v>125</v>
      </c>
      <c r="F15" s="275" t="s">
        <v>126</v>
      </c>
      <c r="G15" s="289" t="s">
        <v>127</v>
      </c>
    </row>
    <row r="16" spans="1:7" ht="15.95" customHeight="1" x14ac:dyDescent="0.2">
      <c r="A16" s="220"/>
      <c r="B16" s="220"/>
      <c r="C16" s="220"/>
      <c r="D16" s="220"/>
      <c r="E16" s="229"/>
      <c r="F16" s="220" t="s">
        <v>128</v>
      </c>
      <c r="G16" s="229"/>
    </row>
    <row r="17" spans="1:7" ht="15.95" customHeight="1" thickBot="1" x14ac:dyDescent="0.25">
      <c r="A17" s="703"/>
      <c r="B17" s="703"/>
      <c r="C17" s="594"/>
      <c r="D17" s="594"/>
      <c r="E17" s="594"/>
      <c r="F17" s="594"/>
      <c r="G17" s="594"/>
    </row>
    <row r="18" spans="1:7" ht="15.95" customHeight="1" x14ac:dyDescent="0.2">
      <c r="A18" s="274" t="s">
        <v>96</v>
      </c>
      <c r="B18" s="274" t="s">
        <v>129</v>
      </c>
      <c r="C18" s="587" t="s">
        <v>130</v>
      </c>
      <c r="D18" s="588"/>
      <c r="E18" s="314" t="s">
        <v>131</v>
      </c>
      <c r="F18" s="289" t="s">
        <v>132</v>
      </c>
      <c r="G18" s="289" t="s">
        <v>133</v>
      </c>
    </row>
    <row r="19" spans="1:7" ht="15.95" customHeight="1" x14ac:dyDescent="0.2">
      <c r="A19" s="313"/>
      <c r="B19" s="312" t="s">
        <v>359</v>
      </c>
      <c r="C19" s="704" t="s">
        <v>323</v>
      </c>
      <c r="D19" s="705"/>
      <c r="E19" s="311">
        <v>3.25</v>
      </c>
      <c r="F19" s="310"/>
      <c r="G19" s="309">
        <f>SUM(A19)*E19</f>
        <v>0</v>
      </c>
    </row>
    <row r="20" spans="1:7" ht="15.95" customHeight="1" x14ac:dyDescent="0.2">
      <c r="A20" s="313"/>
      <c r="B20" s="312" t="s">
        <v>372</v>
      </c>
      <c r="C20" s="704" t="s">
        <v>197</v>
      </c>
      <c r="D20" s="705"/>
      <c r="E20" s="311">
        <v>3</v>
      </c>
      <c r="F20" s="310"/>
      <c r="G20" s="309">
        <f>SUM(A20)*E20</f>
        <v>0</v>
      </c>
    </row>
    <row r="21" spans="1:7" ht="15.95" customHeight="1" x14ac:dyDescent="0.2">
      <c r="A21" s="302"/>
      <c r="B21" s="301" t="s">
        <v>371</v>
      </c>
      <c r="C21" s="700" t="s">
        <v>352</v>
      </c>
      <c r="D21" s="700"/>
      <c r="E21" s="298">
        <v>5.0999999999999996</v>
      </c>
      <c r="F21" s="227"/>
      <c r="G21" s="297">
        <f>SUM(A21)*E21</f>
        <v>0</v>
      </c>
    </row>
    <row r="22" spans="1:7" ht="15.95" customHeight="1" x14ac:dyDescent="0.2">
      <c r="A22" s="302"/>
      <c r="B22" s="301" t="s">
        <v>356</v>
      </c>
      <c r="C22" s="700" t="s">
        <v>355</v>
      </c>
      <c r="D22" s="700"/>
      <c r="E22" s="304">
        <v>1.6</v>
      </c>
      <c r="F22" s="227"/>
      <c r="G22" s="297">
        <f>SUM(A22)*E22</f>
        <v>0</v>
      </c>
    </row>
    <row r="23" spans="1:7" ht="15.95" customHeight="1" x14ac:dyDescent="0.2">
      <c r="A23" s="302"/>
      <c r="B23" s="301" t="s">
        <v>354</v>
      </c>
      <c r="C23" s="700" t="s">
        <v>199</v>
      </c>
      <c r="D23" s="700"/>
      <c r="E23" s="304">
        <v>2.5</v>
      </c>
      <c r="F23" s="227"/>
      <c r="G23" s="308" t="str">
        <f t="shared" ref="G23:G30" si="0">IF(SUM(A23)&gt;0,SUM((A23*E23)-F23),"")</f>
        <v/>
      </c>
    </row>
    <row r="24" spans="1:7" ht="15.95" customHeight="1" x14ac:dyDescent="0.2">
      <c r="A24" s="302"/>
      <c r="B24" s="301" t="s">
        <v>201</v>
      </c>
      <c r="C24" s="700" t="s">
        <v>202</v>
      </c>
      <c r="D24" s="700"/>
      <c r="E24" s="304">
        <v>48</v>
      </c>
      <c r="F24" s="227"/>
      <c r="G24" s="297" t="str">
        <f t="shared" si="0"/>
        <v/>
      </c>
    </row>
    <row r="25" spans="1:7" ht="15.95" customHeight="1" x14ac:dyDescent="0.2">
      <c r="A25" s="302"/>
      <c r="B25" s="301" t="s">
        <v>203</v>
      </c>
      <c r="C25" s="700" t="s">
        <v>202</v>
      </c>
      <c r="D25" s="700"/>
      <c r="E25" s="304">
        <v>64</v>
      </c>
      <c r="F25" s="227"/>
      <c r="G25" s="297" t="str">
        <f t="shared" si="0"/>
        <v/>
      </c>
    </row>
    <row r="26" spans="1:7" ht="15.95" customHeight="1" x14ac:dyDescent="0.2">
      <c r="A26" s="302"/>
      <c r="B26" s="301" t="s">
        <v>353</v>
      </c>
      <c r="C26" s="700" t="s">
        <v>352</v>
      </c>
      <c r="D26" s="700"/>
      <c r="E26" s="307"/>
      <c r="F26" s="227"/>
      <c r="G26" s="297" t="str">
        <f t="shared" si="0"/>
        <v/>
      </c>
    </row>
    <row r="27" spans="1:7" ht="15.95" customHeight="1" x14ac:dyDescent="0.2">
      <c r="A27" s="302"/>
      <c r="B27" s="301" t="s">
        <v>351</v>
      </c>
      <c r="C27" s="700" t="s">
        <v>206</v>
      </c>
      <c r="D27" s="700"/>
      <c r="E27" s="304">
        <v>19.5</v>
      </c>
      <c r="F27" s="227"/>
      <c r="G27" s="297" t="str">
        <f t="shared" si="0"/>
        <v/>
      </c>
    </row>
    <row r="28" spans="1:7" ht="15.95" customHeight="1" x14ac:dyDescent="0.2">
      <c r="A28" s="302"/>
      <c r="B28" s="301" t="s">
        <v>350</v>
      </c>
      <c r="C28" s="700" t="s">
        <v>206</v>
      </c>
      <c r="D28" s="700"/>
      <c r="E28" s="304">
        <v>6</v>
      </c>
      <c r="F28" s="227"/>
      <c r="G28" s="297" t="str">
        <f t="shared" si="0"/>
        <v/>
      </c>
    </row>
    <row r="29" spans="1:7" ht="15.95" customHeight="1" x14ac:dyDescent="0.2">
      <c r="A29" s="302"/>
      <c r="B29" s="301" t="s">
        <v>208</v>
      </c>
      <c r="C29" s="700" t="s">
        <v>209</v>
      </c>
      <c r="D29" s="700"/>
      <c r="E29" s="304">
        <v>65</v>
      </c>
      <c r="F29" s="227"/>
      <c r="G29" s="297" t="str">
        <f t="shared" si="0"/>
        <v/>
      </c>
    </row>
    <row r="30" spans="1:7" ht="15.95" customHeight="1" x14ac:dyDescent="0.2">
      <c r="A30" s="302"/>
      <c r="B30" s="301" t="s">
        <v>210</v>
      </c>
      <c r="C30" s="700" t="s">
        <v>206</v>
      </c>
      <c r="D30" s="700"/>
      <c r="E30" s="304">
        <v>6</v>
      </c>
      <c r="F30" s="227"/>
      <c r="G30" s="297" t="str">
        <f t="shared" si="0"/>
        <v/>
      </c>
    </row>
    <row r="31" spans="1:7" ht="15.95" customHeight="1" x14ac:dyDescent="0.2">
      <c r="A31" s="302"/>
      <c r="B31" s="301" t="s">
        <v>211</v>
      </c>
      <c r="C31" s="570" t="s">
        <v>349</v>
      </c>
      <c r="D31" s="571"/>
      <c r="E31" s="304" t="s">
        <v>213</v>
      </c>
      <c r="F31" s="227"/>
      <c r="G31" s="298"/>
    </row>
    <row r="32" spans="1:7" ht="15.95" customHeight="1" x14ac:dyDescent="0.2">
      <c r="A32" s="302"/>
      <c r="B32" s="301" t="s">
        <v>348</v>
      </c>
      <c r="C32" s="287" t="s">
        <v>172</v>
      </c>
      <c r="D32" s="288"/>
      <c r="E32" s="304" t="s">
        <v>213</v>
      </c>
      <c r="F32" s="227"/>
      <c r="G32" s="298"/>
    </row>
    <row r="33" spans="1:7" ht="15.95" customHeight="1" x14ac:dyDescent="0.2">
      <c r="A33" s="302"/>
      <c r="B33" s="301"/>
      <c r="C33" s="700" t="s">
        <v>215</v>
      </c>
      <c r="D33" s="700"/>
      <c r="E33" s="300"/>
      <c r="F33" s="227"/>
      <c r="G33" s="297">
        <f>SUM(G19:G32)</f>
        <v>0</v>
      </c>
    </row>
    <row r="34" spans="1:7" ht="15.95" customHeight="1" x14ac:dyDescent="0.2">
      <c r="A34" s="302"/>
      <c r="B34" s="301"/>
      <c r="C34" s="699" t="s">
        <v>216</v>
      </c>
      <c r="D34" s="699"/>
      <c r="E34" s="300"/>
      <c r="F34" s="227"/>
      <c r="G34" s="305">
        <f>G33*0.07</f>
        <v>0</v>
      </c>
    </row>
    <row r="35" spans="1:7" ht="15.95" customHeight="1" x14ac:dyDescent="0.2">
      <c r="A35" s="302"/>
      <c r="B35" s="301"/>
      <c r="C35" s="306"/>
      <c r="D35" s="306"/>
      <c r="E35" s="300"/>
      <c r="F35" s="227"/>
      <c r="G35" s="305"/>
    </row>
    <row r="36" spans="1:7" ht="15.95" customHeight="1" x14ac:dyDescent="0.2">
      <c r="A36" s="302"/>
      <c r="B36" s="301" t="s">
        <v>347</v>
      </c>
      <c r="C36" s="701" t="s">
        <v>317</v>
      </c>
      <c r="D36" s="702"/>
      <c r="E36" s="304">
        <v>55</v>
      </c>
      <c r="F36" s="227"/>
      <c r="G36" s="297">
        <f>SUM(A36)*E36</f>
        <v>0</v>
      </c>
    </row>
    <row r="37" spans="1:7" ht="15.95" customHeight="1" x14ac:dyDescent="0.2">
      <c r="A37" s="302"/>
      <c r="B37" s="301" t="s">
        <v>217</v>
      </c>
      <c r="C37" s="700" t="s">
        <v>218</v>
      </c>
      <c r="D37" s="700"/>
      <c r="E37" s="304">
        <v>55</v>
      </c>
      <c r="F37" s="227"/>
      <c r="G37" s="297" t="str">
        <f>IF(SUM(A37)&gt;0,SUM((A37*E37)-F37),"")</f>
        <v/>
      </c>
    </row>
    <row r="38" spans="1:7" ht="15.95" customHeight="1" x14ac:dyDescent="0.2">
      <c r="A38" s="302"/>
      <c r="B38" s="301" t="s">
        <v>346</v>
      </c>
      <c r="C38" s="700" t="s">
        <v>218</v>
      </c>
      <c r="D38" s="700"/>
      <c r="E38" s="304">
        <v>55</v>
      </c>
      <c r="F38" s="227"/>
      <c r="G38" s="297" t="str">
        <f>IF(SUM(A38)&gt;0,SUM((A38*E38)-F38),"")</f>
        <v/>
      </c>
    </row>
    <row r="39" spans="1:7" ht="15.95" customHeight="1" x14ac:dyDescent="0.2">
      <c r="A39" s="302"/>
      <c r="B39" s="301" t="s">
        <v>220</v>
      </c>
      <c r="C39" s="700" t="s">
        <v>218</v>
      </c>
      <c r="D39" s="700"/>
      <c r="E39" s="304">
        <v>55</v>
      </c>
      <c r="F39" s="227"/>
      <c r="G39" s="297" t="str">
        <f>IF(SUM(A39)&gt;0,SUM((A39*E39)-F39),"")</f>
        <v/>
      </c>
    </row>
    <row r="40" spans="1:7" ht="15.95" customHeight="1" x14ac:dyDescent="0.2">
      <c r="A40" s="302"/>
      <c r="B40" s="301" t="s">
        <v>221</v>
      </c>
      <c r="C40" s="570" t="s">
        <v>218</v>
      </c>
      <c r="D40" s="571"/>
      <c r="E40" s="304">
        <v>70</v>
      </c>
      <c r="F40" s="227"/>
      <c r="G40" s="297" t="str">
        <f>IF(SUM(A40)&gt;0,SUM((A40*E40)-F40),"")</f>
        <v/>
      </c>
    </row>
    <row r="41" spans="1:7" ht="15.95" customHeight="1" x14ac:dyDescent="0.2">
      <c r="A41" s="302"/>
      <c r="B41" s="301" t="s">
        <v>222</v>
      </c>
      <c r="C41" s="700">
        <v>120</v>
      </c>
      <c r="D41" s="700"/>
      <c r="E41" s="304">
        <v>11</v>
      </c>
      <c r="F41" s="227"/>
      <c r="G41" s="297">
        <f>C41+(A41*E41)</f>
        <v>120</v>
      </c>
    </row>
    <row r="42" spans="1:7" ht="15.95" customHeight="1" x14ac:dyDescent="0.2">
      <c r="A42" s="302"/>
      <c r="B42" s="301"/>
      <c r="C42" s="700" t="s">
        <v>223</v>
      </c>
      <c r="D42" s="700"/>
      <c r="E42" s="304"/>
      <c r="F42" s="227"/>
      <c r="G42" s="297">
        <f>SUM(G36:G41)</f>
        <v>120</v>
      </c>
    </row>
    <row r="43" spans="1:7" ht="15.95" customHeight="1" x14ac:dyDescent="0.2">
      <c r="A43" s="302"/>
      <c r="B43" s="301"/>
      <c r="C43" s="700" t="s">
        <v>224</v>
      </c>
      <c r="D43" s="700"/>
      <c r="E43" s="304"/>
      <c r="F43" s="227"/>
      <c r="G43" s="297">
        <f>G33+G42</f>
        <v>120</v>
      </c>
    </row>
    <row r="44" spans="1:7" ht="15.95" customHeight="1" x14ac:dyDescent="0.2">
      <c r="A44" s="302"/>
      <c r="B44" s="301"/>
      <c r="C44" s="287" t="s">
        <v>225</v>
      </c>
      <c r="D44" s="288"/>
      <c r="E44" s="304">
        <v>0.4</v>
      </c>
      <c r="F44" s="227"/>
      <c r="G44" s="297">
        <f>G43*E44</f>
        <v>48</v>
      </c>
    </row>
    <row r="45" spans="1:7" ht="15.95" customHeight="1" x14ac:dyDescent="0.2">
      <c r="A45" s="302"/>
      <c r="B45" s="301"/>
      <c r="C45" s="707" t="s">
        <v>226</v>
      </c>
      <c r="D45" s="707"/>
      <c r="E45" s="300"/>
      <c r="F45" s="227"/>
      <c r="G45" s="303">
        <f>G43+G44</f>
        <v>168</v>
      </c>
    </row>
    <row r="46" spans="1:7" ht="15.95" customHeight="1" x14ac:dyDescent="0.2">
      <c r="A46" s="302"/>
      <c r="B46" s="301"/>
      <c r="C46" s="276"/>
      <c r="D46" s="277"/>
      <c r="E46" s="300"/>
      <c r="F46" s="227"/>
      <c r="G46" s="297"/>
    </row>
    <row r="47" spans="1:7" ht="15.95" customHeight="1" x14ac:dyDescent="0.2">
      <c r="A47" s="302"/>
      <c r="B47" s="301" t="s">
        <v>171</v>
      </c>
      <c r="C47" s="285"/>
      <c r="D47" s="286"/>
      <c r="E47" s="300"/>
      <c r="F47" s="227"/>
      <c r="G47" s="298"/>
    </row>
    <row r="48" spans="1:7" ht="15.95" customHeight="1" x14ac:dyDescent="0.2">
      <c r="A48" s="302"/>
      <c r="B48" s="301" t="s">
        <v>174</v>
      </c>
      <c r="C48" s="285"/>
      <c r="D48" s="286"/>
      <c r="E48" s="300"/>
      <c r="F48" s="227"/>
      <c r="G48" s="298"/>
    </row>
    <row r="49" spans="1:7" ht="15.95" customHeight="1" x14ac:dyDescent="0.2">
      <c r="A49" s="302"/>
      <c r="B49" s="301"/>
      <c r="C49" s="285"/>
      <c r="D49" s="286"/>
      <c r="E49" s="300"/>
      <c r="F49" s="227"/>
      <c r="G49" s="297"/>
    </row>
    <row r="50" spans="1:7" x14ac:dyDescent="0.2">
      <c r="G50" s="299"/>
    </row>
    <row r="51" spans="1:7" ht="15.95" customHeight="1" x14ac:dyDescent="0.2">
      <c r="A51" s="216"/>
      <c r="B51" s="203"/>
      <c r="C51" s="203"/>
      <c r="D51" s="566" t="s">
        <v>177</v>
      </c>
      <c r="E51" s="566"/>
      <c r="F51" s="227"/>
      <c r="G51" s="298">
        <v>0</v>
      </c>
    </row>
    <row r="52" spans="1:7" ht="15.95" customHeight="1" x14ac:dyDescent="0.2">
      <c r="A52" s="280"/>
      <c r="B52" s="280"/>
      <c r="C52" s="280"/>
      <c r="D52" s="280"/>
      <c r="E52" s="280"/>
      <c r="F52" s="283" t="s">
        <v>178</v>
      </c>
      <c r="G52" s="297">
        <f>(G34+G45+G47+G48)-G51</f>
        <v>168</v>
      </c>
    </row>
    <row r="53" spans="1:7" ht="15.95" customHeight="1" x14ac:dyDescent="0.2">
      <c r="A53" s="280"/>
      <c r="B53" s="280"/>
      <c r="C53" s="280"/>
      <c r="D53" s="280"/>
      <c r="E53" s="280"/>
      <c r="F53" s="212" t="s">
        <v>27</v>
      </c>
      <c r="G53" s="297">
        <f>G52*0.05</f>
        <v>8.4</v>
      </c>
    </row>
    <row r="54" spans="1:7" ht="15.95" customHeight="1" x14ac:dyDescent="0.2">
      <c r="A54" s="280"/>
      <c r="B54" s="280"/>
      <c r="C54" s="280"/>
      <c r="D54" s="280"/>
      <c r="E54" s="280"/>
      <c r="F54" s="283" t="s">
        <v>179</v>
      </c>
      <c r="G54" s="296">
        <f>G52+G53</f>
        <v>176.4</v>
      </c>
    </row>
    <row r="55" spans="1:7" ht="15.95" customHeight="1" x14ac:dyDescent="0.2">
      <c r="A55" s="209"/>
      <c r="B55" s="209"/>
      <c r="C55" s="209"/>
      <c r="D55" s="280"/>
      <c r="E55" s="206"/>
      <c r="F55" s="208"/>
    </row>
    <row r="56" spans="1:7" ht="15.95" customHeight="1" x14ac:dyDescent="0.2">
      <c r="A56" s="204"/>
      <c r="B56" s="207"/>
      <c r="C56" s="203"/>
      <c r="D56" s="280"/>
      <c r="E56" s="206"/>
      <c r="F56" s="205" t="str">
        <f>IF(SUM(F54)&gt;0,SUM((F54*F55)+F54),"")</f>
        <v/>
      </c>
    </row>
    <row r="57" spans="1:7" ht="15.95" customHeight="1" x14ac:dyDescent="0.2">
      <c r="A57" s="204"/>
      <c r="B57" s="203"/>
      <c r="C57" s="203"/>
      <c r="D57" s="280"/>
      <c r="E57" s="280"/>
      <c r="F57" s="280"/>
    </row>
    <row r="58" spans="1:7" ht="15.95" customHeight="1" x14ac:dyDescent="0.2">
      <c r="B58" s="567"/>
      <c r="C58" s="706"/>
      <c r="D58" s="706"/>
      <c r="E58" s="706"/>
    </row>
    <row r="59" spans="1:7" ht="15.95" customHeight="1" x14ac:dyDescent="0.2">
      <c r="B59" s="202"/>
      <c r="C59" s="201"/>
      <c r="D59" s="201"/>
      <c r="E59" s="201"/>
    </row>
    <row r="60" spans="1:7" ht="10.5" customHeight="1" x14ac:dyDescent="0.2"/>
    <row r="61" spans="1:7" x14ac:dyDescent="0.2">
      <c r="A61" s="200"/>
      <c r="B61" s="282"/>
      <c r="C61" s="282"/>
      <c r="D61" s="282"/>
      <c r="E61" s="282"/>
      <c r="F61" s="282"/>
    </row>
  </sheetData>
  <sheetProtection sheet="1" selectLockedCells="1"/>
  <mergeCells count="53">
    <mergeCell ref="C45:D45"/>
    <mergeCell ref="D51:E51"/>
    <mergeCell ref="C42:D42"/>
    <mergeCell ref="C43:D43"/>
    <mergeCell ref="C27:D27"/>
    <mergeCell ref="C28:D28"/>
    <mergeCell ref="C40:D40"/>
    <mergeCell ref="C41:D41"/>
    <mergeCell ref="C30:D30"/>
    <mergeCell ref="C33:D33"/>
    <mergeCell ref="C29:D29"/>
    <mergeCell ref="C36:D36"/>
    <mergeCell ref="C39:D39"/>
    <mergeCell ref="C2:F2"/>
    <mergeCell ref="A3:B3"/>
    <mergeCell ref="A2:B2"/>
    <mergeCell ref="E9:F9"/>
    <mergeCell ref="E4:F4"/>
    <mergeCell ref="E5:F5"/>
    <mergeCell ref="E6:F6"/>
    <mergeCell ref="A4:B4"/>
    <mergeCell ref="C3:F3"/>
    <mergeCell ref="B9:C9"/>
    <mergeCell ref="C6:D6"/>
    <mergeCell ref="A8:F8"/>
    <mergeCell ref="A6:B6"/>
    <mergeCell ref="A7:B7"/>
    <mergeCell ref="A5:B5"/>
    <mergeCell ref="C7:D7"/>
    <mergeCell ref="E11:F11"/>
    <mergeCell ref="A14:F14"/>
    <mergeCell ref="B10:C10"/>
    <mergeCell ref="B12:C12"/>
    <mergeCell ref="B13:C13"/>
    <mergeCell ref="E10:F10"/>
    <mergeCell ref="E12:F12"/>
    <mergeCell ref="E13:F13"/>
    <mergeCell ref="B58:E58"/>
    <mergeCell ref="B11:C11"/>
    <mergeCell ref="C34:D34"/>
    <mergeCell ref="C37:D37"/>
    <mergeCell ref="C38:D38"/>
    <mergeCell ref="C24:D24"/>
    <mergeCell ref="C25:D25"/>
    <mergeCell ref="C26:D26"/>
    <mergeCell ref="C18:D18"/>
    <mergeCell ref="C21:D21"/>
    <mergeCell ref="C22:D22"/>
    <mergeCell ref="C23:D23"/>
    <mergeCell ref="C19:D19"/>
    <mergeCell ref="C20:D20"/>
    <mergeCell ref="C31:D31"/>
    <mergeCell ref="A17:G17"/>
  </mergeCells>
  <hyperlinks>
    <hyperlink ref="A7" r:id="rId1" xr:uid="{2D3688A2-3D39-4542-9F85-0E7FD14AE4DD}"/>
  </hyperlinks>
  <printOptions horizontalCentered="1"/>
  <pageMargins left="0.74803149606299213" right="0.74803149606299213" top="0.51181102362204722" bottom="0.51181102362204722" header="0.51181102362204722" footer="0.51181102362204722"/>
  <pageSetup scale="77" orientation="portrait" r:id="rId2"/>
  <headerFooter alignWithMargins="0"/>
  <drawing r:id="rId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F1F3AE-CD92-47E0-824C-2F1BA571B660}">
  <sheetPr codeName="Sheet10">
    <pageSetUpPr fitToPage="1"/>
  </sheetPr>
  <dimension ref="A1:XFD76"/>
  <sheetViews>
    <sheetView showGridLines="0" workbookViewId="0">
      <selection activeCell="O2" sqref="O2"/>
    </sheetView>
  </sheetViews>
  <sheetFormatPr defaultColWidth="9.140625" defaultRowHeight="12.75" x14ac:dyDescent="0.2"/>
  <cols>
    <col min="1" max="1" width="12.7109375" style="284" customWidth="1"/>
    <col min="2" max="2" width="21" style="284" customWidth="1"/>
    <col min="3" max="3" width="13.140625" style="284" customWidth="1"/>
    <col min="4" max="4" width="12.42578125" style="284" customWidth="1"/>
    <col min="5" max="7" width="12.7109375" style="284" customWidth="1"/>
    <col min="8" max="16384" width="9.140625" style="284"/>
  </cols>
  <sheetData>
    <row r="1" spans="1:7" ht="42.75" customHeight="1" x14ac:dyDescent="0.2"/>
    <row r="2" spans="1:7" ht="16.5" customHeight="1" x14ac:dyDescent="0.25">
      <c r="A2" s="597"/>
      <c r="B2" s="598"/>
      <c r="C2" s="599"/>
      <c r="D2" s="599"/>
      <c r="E2" s="599"/>
      <c r="F2" s="599"/>
    </row>
    <row r="3" spans="1:7" ht="16.5" customHeight="1" x14ac:dyDescent="0.2">
      <c r="A3" s="600" t="s">
        <v>106</v>
      </c>
      <c r="B3" s="600"/>
      <c r="C3" s="599"/>
      <c r="D3" s="599"/>
      <c r="E3" s="599"/>
      <c r="F3" s="599"/>
    </row>
    <row r="4" spans="1:7" s="280" customFormat="1" ht="14.1" customHeight="1" x14ac:dyDescent="0.2">
      <c r="A4" s="590" t="s">
        <v>107</v>
      </c>
      <c r="B4" s="590"/>
      <c r="C4" s="237"/>
      <c r="D4" s="279" t="s">
        <v>108</v>
      </c>
      <c r="E4" s="590" t="s">
        <v>109</v>
      </c>
      <c r="F4" s="590"/>
    </row>
    <row r="5" spans="1:7" s="280" customFormat="1" ht="14.1" customHeight="1" x14ac:dyDescent="0.2">
      <c r="A5" s="590" t="s">
        <v>110</v>
      </c>
      <c r="B5" s="590"/>
      <c r="C5" s="237"/>
      <c r="D5" s="279" t="s">
        <v>111</v>
      </c>
      <c r="E5" s="591">
        <f ca="1">TODAY()</f>
        <v>45198</v>
      </c>
      <c r="F5" s="591"/>
    </row>
    <row r="6" spans="1:7" s="280" customFormat="1" ht="14.1" customHeight="1" x14ac:dyDescent="0.2">
      <c r="A6" s="590" t="s">
        <v>112</v>
      </c>
      <c r="B6" s="590"/>
      <c r="C6" s="592" t="s">
        <v>113</v>
      </c>
      <c r="D6" s="592"/>
      <c r="E6" s="590" t="s">
        <v>114</v>
      </c>
      <c r="F6" s="590"/>
    </row>
    <row r="7" spans="1:7" s="280" customFormat="1" ht="14.1" customHeight="1" x14ac:dyDescent="0.2">
      <c r="A7" s="496" t="s">
        <v>115</v>
      </c>
      <c r="B7" s="590"/>
      <c r="C7" s="593" t="s">
        <v>116</v>
      </c>
      <c r="D7" s="593"/>
      <c r="E7" s="236">
        <f ca="1">TODAY()+30</f>
        <v>45228</v>
      </c>
      <c r="F7" s="235"/>
    </row>
    <row r="8" spans="1:7" s="280" customFormat="1" ht="14.1" customHeight="1" x14ac:dyDescent="0.2">
      <c r="A8" s="594"/>
      <c r="B8" s="594"/>
      <c r="C8" s="594"/>
      <c r="D8" s="594"/>
      <c r="E8" s="594"/>
      <c r="F8" s="594"/>
    </row>
    <row r="9" spans="1:7" s="280" customFormat="1" ht="14.1" customHeight="1" x14ac:dyDescent="0.2">
      <c r="A9" s="234" t="s">
        <v>87</v>
      </c>
      <c r="B9" s="595" t="s">
        <v>23</v>
      </c>
      <c r="C9" s="582"/>
      <c r="D9" s="233"/>
      <c r="E9" s="583"/>
      <c r="F9" s="583"/>
    </row>
    <row r="10" spans="1:7" s="280" customFormat="1" ht="14.1" customHeight="1" x14ac:dyDescent="0.2">
      <c r="A10" s="232"/>
      <c r="B10" s="596"/>
      <c r="C10" s="596"/>
      <c r="D10" s="278"/>
      <c r="E10" s="583"/>
      <c r="F10" s="583"/>
    </row>
    <row r="11" spans="1:7" s="280" customFormat="1" ht="14.1" customHeight="1" x14ac:dyDescent="0.2">
      <c r="A11" s="278"/>
      <c r="B11" s="582" t="s">
        <v>180</v>
      </c>
      <c r="C11" s="582"/>
      <c r="D11" s="278"/>
      <c r="E11" s="583"/>
      <c r="F11" s="583"/>
    </row>
    <row r="12" spans="1:7" s="280" customFormat="1" ht="14.1" customHeight="1" x14ac:dyDescent="0.2">
      <c r="A12" s="278"/>
      <c r="B12" s="582" t="s">
        <v>118</v>
      </c>
      <c r="C12" s="582"/>
      <c r="D12" s="278"/>
      <c r="E12" s="583"/>
      <c r="F12" s="583"/>
    </row>
    <row r="13" spans="1:7" s="280" customFormat="1" ht="14.1" customHeight="1" x14ac:dyDescent="0.2">
      <c r="A13" s="278"/>
      <c r="B13" s="582" t="s">
        <v>119</v>
      </c>
      <c r="C13" s="582"/>
      <c r="D13" s="278"/>
      <c r="E13" s="583"/>
      <c r="F13" s="583"/>
    </row>
    <row r="14" spans="1:7" s="280" customFormat="1" ht="14.1" customHeight="1" thickBot="1" x14ac:dyDescent="0.25">
      <c r="A14" s="584" t="s">
        <v>361</v>
      </c>
      <c r="B14" s="585"/>
      <c r="C14" s="585"/>
      <c r="D14" s="585"/>
      <c r="E14" s="585"/>
      <c r="F14" s="585"/>
    </row>
    <row r="15" spans="1:7" ht="22.5" x14ac:dyDescent="0.2">
      <c r="A15" s="289" t="s">
        <v>121</v>
      </c>
      <c r="B15" s="289" t="s">
        <v>122</v>
      </c>
      <c r="C15" s="275" t="s">
        <v>123</v>
      </c>
      <c r="D15" s="275" t="s">
        <v>124</v>
      </c>
      <c r="E15" s="275" t="s">
        <v>125</v>
      </c>
      <c r="F15" s="275" t="s">
        <v>126</v>
      </c>
      <c r="G15" s="289" t="s">
        <v>127</v>
      </c>
    </row>
    <row r="16" spans="1:7" ht="15.95" customHeight="1" x14ac:dyDescent="0.2">
      <c r="A16" s="230"/>
      <c r="B16" s="230"/>
      <c r="C16" s="220"/>
      <c r="D16" s="220"/>
      <c r="E16" s="229"/>
      <c r="F16" s="220" t="s">
        <v>128</v>
      </c>
      <c r="G16" s="229"/>
    </row>
    <row r="17" spans="1:7" ht="15.95" customHeight="1" thickBot="1" x14ac:dyDescent="0.25">
      <c r="A17" s="586"/>
      <c r="B17" s="586"/>
      <c r="C17" s="586"/>
      <c r="D17" s="586"/>
      <c r="E17" s="586"/>
      <c r="F17" s="586"/>
      <c r="G17" s="586"/>
    </row>
    <row r="18" spans="1:7" ht="15.95" customHeight="1" x14ac:dyDescent="0.2">
      <c r="A18" s="274" t="s">
        <v>96</v>
      </c>
      <c r="B18" s="274" t="s">
        <v>129</v>
      </c>
      <c r="C18" s="587" t="s">
        <v>130</v>
      </c>
      <c r="D18" s="588"/>
      <c r="E18" s="289" t="s">
        <v>131</v>
      </c>
      <c r="F18" s="289" t="s">
        <v>132</v>
      </c>
      <c r="G18" s="289" t="s">
        <v>133</v>
      </c>
    </row>
    <row r="19" spans="1:7" ht="15.95" customHeight="1" x14ac:dyDescent="0.2">
      <c r="A19" s="222"/>
      <c r="B19" s="254" t="s">
        <v>134</v>
      </c>
      <c r="C19" s="570" t="s">
        <v>135</v>
      </c>
      <c r="D19" s="571"/>
      <c r="E19" s="213">
        <v>8.5</v>
      </c>
      <c r="F19" s="227"/>
      <c r="G19" s="320" t="str">
        <f t="shared" ref="G19:G37" si="0">IF(SUM(A19)&gt;0,SUM((A19*E19)-F19),"")</f>
        <v/>
      </c>
    </row>
    <row r="20" spans="1:7" ht="15.95" customHeight="1" x14ac:dyDescent="0.2">
      <c r="A20" s="222"/>
      <c r="B20" s="254" t="s">
        <v>134</v>
      </c>
      <c r="C20" s="570" t="s">
        <v>136</v>
      </c>
      <c r="D20" s="571"/>
      <c r="E20" s="213">
        <v>9.5</v>
      </c>
      <c r="F20" s="227"/>
      <c r="G20" s="320" t="str">
        <f t="shared" si="0"/>
        <v/>
      </c>
    </row>
    <row r="21" spans="1:7" ht="15.95" customHeight="1" x14ac:dyDescent="0.2">
      <c r="A21" s="222"/>
      <c r="B21" s="254" t="s">
        <v>134</v>
      </c>
      <c r="C21" s="570" t="s">
        <v>137</v>
      </c>
      <c r="D21" s="571"/>
      <c r="E21" s="213">
        <v>11</v>
      </c>
      <c r="F21" s="227"/>
      <c r="G21" s="320" t="str">
        <f t="shared" si="0"/>
        <v/>
      </c>
    </row>
    <row r="22" spans="1:7" ht="15.95" customHeight="1" x14ac:dyDescent="0.2">
      <c r="A22" s="222"/>
      <c r="B22" s="254" t="s">
        <v>134</v>
      </c>
      <c r="C22" s="570" t="s">
        <v>138</v>
      </c>
      <c r="D22" s="571"/>
      <c r="E22" s="213">
        <v>12.65</v>
      </c>
      <c r="F22" s="227"/>
      <c r="G22" s="320" t="str">
        <f t="shared" si="0"/>
        <v/>
      </c>
    </row>
    <row r="23" spans="1:7" ht="15.95" customHeight="1" x14ac:dyDescent="0.2">
      <c r="A23" s="222"/>
      <c r="B23" s="254" t="s">
        <v>134</v>
      </c>
      <c r="C23" s="570" t="s">
        <v>139</v>
      </c>
      <c r="D23" s="571"/>
      <c r="E23" s="213">
        <v>13.5</v>
      </c>
      <c r="F23" s="227"/>
      <c r="G23" s="320" t="str">
        <f t="shared" si="0"/>
        <v/>
      </c>
    </row>
    <row r="24" spans="1:7" ht="15.95" customHeight="1" x14ac:dyDescent="0.2">
      <c r="A24" s="222"/>
      <c r="B24" s="254" t="s">
        <v>134</v>
      </c>
      <c r="C24" s="570" t="s">
        <v>140</v>
      </c>
      <c r="D24" s="571"/>
      <c r="E24" s="213">
        <v>15.5</v>
      </c>
      <c r="F24" s="227"/>
      <c r="G24" s="320" t="str">
        <f t="shared" si="0"/>
        <v/>
      </c>
    </row>
    <row r="25" spans="1:7" ht="15.95" customHeight="1" x14ac:dyDescent="0.2">
      <c r="A25" s="222"/>
      <c r="B25" s="254" t="s">
        <v>134</v>
      </c>
      <c r="C25" s="570" t="s">
        <v>141</v>
      </c>
      <c r="D25" s="571"/>
      <c r="E25" s="213">
        <v>18.5</v>
      </c>
      <c r="F25" s="227"/>
      <c r="G25" s="320" t="str">
        <f t="shared" si="0"/>
        <v/>
      </c>
    </row>
    <row r="26" spans="1:7" ht="15.95" customHeight="1" x14ac:dyDescent="0.2">
      <c r="A26" s="222"/>
      <c r="B26" s="254" t="s">
        <v>134</v>
      </c>
      <c r="C26" s="570" t="s">
        <v>142</v>
      </c>
      <c r="D26" s="571"/>
      <c r="E26" s="213">
        <v>24.5</v>
      </c>
      <c r="F26" s="227"/>
      <c r="G26" s="320" t="str">
        <f t="shared" si="0"/>
        <v/>
      </c>
    </row>
    <row r="27" spans="1:7" ht="15.95" customHeight="1" x14ac:dyDescent="0.2">
      <c r="A27" s="222"/>
      <c r="B27" s="254" t="s">
        <v>134</v>
      </c>
      <c r="C27" s="570" t="s">
        <v>143</v>
      </c>
      <c r="D27" s="571"/>
      <c r="E27" s="213">
        <v>31.25</v>
      </c>
      <c r="F27" s="227"/>
      <c r="G27" s="320" t="str">
        <f t="shared" si="0"/>
        <v/>
      </c>
    </row>
    <row r="28" spans="1:7" ht="15.95" customHeight="1" x14ac:dyDescent="0.2">
      <c r="A28" s="222"/>
      <c r="B28" s="254" t="s">
        <v>134</v>
      </c>
      <c r="C28" s="570" t="s">
        <v>144</v>
      </c>
      <c r="D28" s="571"/>
      <c r="E28" s="213">
        <v>41</v>
      </c>
      <c r="F28" s="227"/>
      <c r="G28" s="320" t="str">
        <f t="shared" si="0"/>
        <v/>
      </c>
    </row>
    <row r="29" spans="1:7" ht="15.95" customHeight="1" x14ac:dyDescent="0.2">
      <c r="A29" s="222"/>
      <c r="B29" s="254" t="s">
        <v>134</v>
      </c>
      <c r="C29" s="570" t="s">
        <v>145</v>
      </c>
      <c r="D29" s="571"/>
      <c r="E29" s="213">
        <v>49</v>
      </c>
      <c r="F29" s="227"/>
      <c r="G29" s="320" t="str">
        <f t="shared" si="0"/>
        <v/>
      </c>
    </row>
    <row r="30" spans="1:7" ht="15.95" customHeight="1" x14ac:dyDescent="0.2">
      <c r="A30" s="222"/>
      <c r="B30" s="254" t="s">
        <v>134</v>
      </c>
      <c r="C30" s="570" t="s">
        <v>146</v>
      </c>
      <c r="D30" s="571"/>
      <c r="E30" s="213">
        <v>57</v>
      </c>
      <c r="F30" s="227"/>
      <c r="G30" s="320" t="str">
        <f t="shared" si="0"/>
        <v/>
      </c>
    </row>
    <row r="31" spans="1:7" ht="15.95" customHeight="1" x14ac:dyDescent="0.2">
      <c r="A31" s="222"/>
      <c r="B31" s="254" t="s">
        <v>134</v>
      </c>
      <c r="C31" s="570" t="s">
        <v>147</v>
      </c>
      <c r="D31" s="571"/>
      <c r="E31" s="213">
        <v>66</v>
      </c>
      <c r="F31" s="227"/>
      <c r="G31" s="320" t="str">
        <f t="shared" si="0"/>
        <v/>
      </c>
    </row>
    <row r="32" spans="1:7" ht="15.95" customHeight="1" x14ac:dyDescent="0.2">
      <c r="A32" s="222"/>
      <c r="B32" s="254" t="s">
        <v>134</v>
      </c>
      <c r="C32" s="570" t="s">
        <v>148</v>
      </c>
      <c r="D32" s="571"/>
      <c r="E32" s="213">
        <v>87</v>
      </c>
      <c r="F32" s="227"/>
      <c r="G32" s="320" t="str">
        <f t="shared" si="0"/>
        <v/>
      </c>
    </row>
    <row r="33" spans="1:7 16384:16384" ht="15.95" customHeight="1" x14ac:dyDescent="0.2">
      <c r="A33" s="222"/>
      <c r="B33" s="254" t="s">
        <v>134</v>
      </c>
      <c r="C33" s="570" t="s">
        <v>149</v>
      </c>
      <c r="D33" s="571"/>
      <c r="E33" s="213">
        <v>93.5</v>
      </c>
      <c r="F33" s="227"/>
      <c r="G33" s="320" t="str">
        <f t="shared" si="0"/>
        <v/>
      </c>
    </row>
    <row r="34" spans="1:7 16384:16384" ht="15.95" customHeight="1" x14ac:dyDescent="0.2">
      <c r="A34" s="222"/>
      <c r="B34" s="254" t="s">
        <v>134</v>
      </c>
      <c r="C34" s="570" t="s">
        <v>150</v>
      </c>
      <c r="D34" s="571"/>
      <c r="E34" s="213">
        <v>107</v>
      </c>
      <c r="F34" s="227"/>
      <c r="G34" s="320" t="str">
        <f t="shared" si="0"/>
        <v/>
      </c>
    </row>
    <row r="35" spans="1:7 16384:16384" ht="15.95" customHeight="1" x14ac:dyDescent="0.2">
      <c r="A35" s="222"/>
      <c r="B35" s="254" t="s">
        <v>134</v>
      </c>
      <c r="C35" s="570" t="s">
        <v>151</v>
      </c>
      <c r="D35" s="571"/>
      <c r="E35" s="213">
        <v>120</v>
      </c>
      <c r="F35" s="227"/>
      <c r="G35" s="320" t="str">
        <f t="shared" si="0"/>
        <v/>
      </c>
    </row>
    <row r="36" spans="1:7 16384:16384" ht="15.95" customHeight="1" x14ac:dyDescent="0.2">
      <c r="A36" s="222"/>
      <c r="B36" s="254" t="s">
        <v>134</v>
      </c>
      <c r="C36" s="570" t="s">
        <v>152</v>
      </c>
      <c r="D36" s="571"/>
      <c r="E36" s="213">
        <v>129</v>
      </c>
      <c r="F36" s="227"/>
      <c r="G36" s="320" t="str">
        <f t="shared" si="0"/>
        <v/>
      </c>
    </row>
    <row r="37" spans="1:7 16384:16384" ht="15.95" customHeight="1" x14ac:dyDescent="0.2">
      <c r="A37" s="222"/>
      <c r="B37" s="254" t="s">
        <v>134</v>
      </c>
      <c r="C37" s="570" t="s">
        <v>153</v>
      </c>
      <c r="D37" s="571"/>
      <c r="E37" s="213">
        <v>165</v>
      </c>
      <c r="F37" s="227"/>
      <c r="G37" s="320" t="str">
        <f t="shared" si="0"/>
        <v/>
      </c>
    </row>
    <row r="38" spans="1:7 16384:16384" ht="15.95" customHeight="1" x14ac:dyDescent="0.2">
      <c r="A38" s="222"/>
      <c r="B38" s="257" t="s">
        <v>154</v>
      </c>
      <c r="C38" s="578" t="s">
        <v>155</v>
      </c>
      <c r="D38" s="579"/>
      <c r="E38" s="245" t="s">
        <v>156</v>
      </c>
      <c r="F38" s="256"/>
      <c r="G38" s="322"/>
    </row>
    <row r="39" spans="1:7 16384:16384" ht="15.95" customHeight="1" x14ac:dyDescent="0.2">
      <c r="A39" s="222"/>
      <c r="B39" s="254" t="s">
        <v>157</v>
      </c>
      <c r="C39" s="570" t="s">
        <v>158</v>
      </c>
      <c r="D39" s="571"/>
      <c r="E39" s="213">
        <v>0.75</v>
      </c>
      <c r="F39" s="226">
        <f>(A39*E39)</f>
        <v>0</v>
      </c>
      <c r="G39" s="320">
        <f>(A39*E39)*2</f>
        <v>0</v>
      </c>
    </row>
    <row r="40" spans="1:7 16384:16384" ht="15.95" customHeight="1" x14ac:dyDescent="0.2">
      <c r="A40" s="222"/>
      <c r="B40" s="254" t="s">
        <v>159</v>
      </c>
      <c r="C40" s="570" t="s">
        <v>160</v>
      </c>
      <c r="D40" s="571"/>
      <c r="E40" s="213">
        <v>2</v>
      </c>
      <c r="F40" s="226">
        <f>(A40*E40)</f>
        <v>0</v>
      </c>
      <c r="G40" s="320">
        <f>(A40*E40)*2.5</f>
        <v>0</v>
      </c>
    </row>
    <row r="41" spans="1:7 16384:16384" ht="15.95" customHeight="1" x14ac:dyDescent="0.2">
      <c r="A41" s="222"/>
      <c r="B41" s="254" t="s">
        <v>161</v>
      </c>
      <c r="C41" s="570" t="s">
        <v>162</v>
      </c>
      <c r="D41" s="571"/>
      <c r="E41" s="213">
        <v>2.5</v>
      </c>
      <c r="F41" s="226">
        <f>(A41*E41)</f>
        <v>0</v>
      </c>
      <c r="G41" s="320">
        <f>(A41*E41)*2</f>
        <v>0</v>
      </c>
    </row>
    <row r="42" spans="1:7 16384:16384" ht="15.95" customHeight="1" x14ac:dyDescent="0.2">
      <c r="A42" s="222"/>
      <c r="B42" s="230" t="s">
        <v>163</v>
      </c>
      <c r="C42" s="576" t="s">
        <v>164</v>
      </c>
      <c r="D42" s="577"/>
      <c r="E42" s="222" t="s">
        <v>156</v>
      </c>
      <c r="F42" s="256">
        <v>0</v>
      </c>
      <c r="G42" s="322">
        <f>(F42*0.4)+F42</f>
        <v>0</v>
      </c>
    </row>
    <row r="43" spans="1:7 16384:16384" ht="15.95" customHeight="1" x14ac:dyDescent="0.2">
      <c r="A43" s="222"/>
      <c r="B43" s="254" t="s">
        <v>165</v>
      </c>
      <c r="C43" s="570"/>
      <c r="D43" s="571"/>
      <c r="E43" s="213">
        <v>200</v>
      </c>
      <c r="F43" s="331">
        <f>SUM(A43*E43)</f>
        <v>0</v>
      </c>
      <c r="G43" s="320"/>
    </row>
    <row r="44" spans="1:7 16384:16384" ht="15.95" customHeight="1" x14ac:dyDescent="0.2">
      <c r="A44" s="222"/>
      <c r="B44" s="254" t="s">
        <v>166</v>
      </c>
      <c r="C44" s="570"/>
      <c r="D44" s="571"/>
      <c r="E44" s="213">
        <v>35</v>
      </c>
      <c r="F44" s="227">
        <f>SUM(A44*10)</f>
        <v>0</v>
      </c>
      <c r="G44" s="320">
        <f>SUM(A44*E44)</f>
        <v>0</v>
      </c>
    </row>
    <row r="45" spans="1:7 16384:16384" ht="15.95" customHeight="1" x14ac:dyDescent="0.2">
      <c r="A45" s="222"/>
      <c r="B45" s="330" t="s">
        <v>167</v>
      </c>
      <c r="C45" s="572"/>
      <c r="D45" s="573"/>
      <c r="E45" s="213"/>
      <c r="F45" s="227"/>
      <c r="G45" s="320">
        <f>SUM(G19:G44)</f>
        <v>0</v>
      </c>
    </row>
    <row r="46" spans="1:7 16384:16384" ht="15.95" customHeight="1" x14ac:dyDescent="0.2">
      <c r="A46" s="222"/>
      <c r="B46" s="330"/>
      <c r="C46" s="329"/>
      <c r="D46" s="328"/>
      <c r="E46" s="213"/>
      <c r="F46" s="227"/>
      <c r="G46" s="213"/>
    </row>
    <row r="47" spans="1:7 16384:16384" ht="15.95" customHeight="1" x14ac:dyDescent="0.2">
      <c r="A47" s="326"/>
      <c r="B47" s="327" t="s">
        <v>168</v>
      </c>
      <c r="C47" s="580" t="s">
        <v>169</v>
      </c>
      <c r="D47" s="581"/>
      <c r="E47" s="326"/>
      <c r="F47" s="325"/>
      <c r="G47" s="226">
        <f>SUM(F39,F40,F41,F42,F43)*0.07</f>
        <v>0</v>
      </c>
      <c r="XFD47" s="324">
        <f>SUM(A47:XFC47)</f>
        <v>0</v>
      </c>
    </row>
    <row r="48" spans="1:7 16384:16384" ht="15.95" customHeight="1" x14ac:dyDescent="0.2">
      <c r="A48" s="255"/>
      <c r="B48" s="323" t="s">
        <v>170</v>
      </c>
      <c r="C48" s="688"/>
      <c r="D48" s="689"/>
      <c r="E48" s="255">
        <v>75</v>
      </c>
      <c r="F48" s="258"/>
      <c r="G48" s="213">
        <f>(A48*E48)</f>
        <v>0</v>
      </c>
    </row>
    <row r="49" spans="1:7" ht="15.95" customHeight="1" x14ac:dyDescent="0.2">
      <c r="A49" s="222"/>
      <c r="B49" s="230" t="s">
        <v>171</v>
      </c>
      <c r="C49" s="568" t="s">
        <v>172</v>
      </c>
      <c r="D49" s="569"/>
      <c r="E49" s="222"/>
      <c r="F49" s="256"/>
      <c r="G49" s="322"/>
    </row>
    <row r="50" spans="1:7" ht="15.95" customHeight="1" x14ac:dyDescent="0.2">
      <c r="A50" s="222"/>
      <c r="B50" s="254" t="s">
        <v>171</v>
      </c>
      <c r="C50" s="570" t="s">
        <v>173</v>
      </c>
      <c r="D50" s="571"/>
      <c r="E50" s="213">
        <v>115</v>
      </c>
      <c r="F50" s="227"/>
      <c r="G50" s="320">
        <f>IF(SUM(A50)&gt;0,SUM((A50*E50)-F50),)</f>
        <v>0</v>
      </c>
    </row>
    <row r="51" spans="1:7" ht="15.95" customHeight="1" x14ac:dyDescent="0.2">
      <c r="A51" s="222"/>
      <c r="B51" s="230" t="s">
        <v>174</v>
      </c>
      <c r="C51" s="568" t="s">
        <v>172</v>
      </c>
      <c r="D51" s="569"/>
      <c r="E51" s="222"/>
      <c r="F51" s="256"/>
      <c r="G51" s="322"/>
    </row>
    <row r="52" spans="1:7" ht="15.95" customHeight="1" x14ac:dyDescent="0.2">
      <c r="A52" s="222"/>
      <c r="B52" s="254" t="s">
        <v>175</v>
      </c>
      <c r="C52" s="572"/>
      <c r="D52" s="573"/>
      <c r="E52" s="213">
        <v>75</v>
      </c>
      <c r="F52" s="227"/>
      <c r="G52" s="320" t="str">
        <f>IF(SUM(A52)&gt;0,SUM((A52*E52)-F52),"")</f>
        <v/>
      </c>
    </row>
    <row r="53" spans="1:7" ht="15.95" customHeight="1" x14ac:dyDescent="0.2">
      <c r="A53" s="321"/>
      <c r="B53" s="254"/>
      <c r="C53" s="572"/>
      <c r="D53" s="573"/>
      <c r="E53" s="213"/>
      <c r="F53" s="227"/>
      <c r="G53" s="320"/>
    </row>
    <row r="54" spans="1:7" ht="15.95" customHeight="1" x14ac:dyDescent="0.2">
      <c r="A54" s="316"/>
      <c r="E54" s="574" t="s">
        <v>176</v>
      </c>
      <c r="F54" s="575"/>
      <c r="G54" s="319">
        <f>SUM(G47:G52,G44,G42,G41,G40,G39,G38,G37,G36,G35,G34,G33,G32,G31,G30,G19:G29)</f>
        <v>0</v>
      </c>
    </row>
    <row r="55" spans="1:7" ht="15.95" customHeight="1" x14ac:dyDescent="0.2">
      <c r="A55" s="316"/>
      <c r="B55" s="203"/>
      <c r="C55" s="203"/>
      <c r="D55" s="566" t="s">
        <v>177</v>
      </c>
      <c r="E55" s="566"/>
      <c r="F55" s="249"/>
      <c r="G55" s="318">
        <f>G54*F55</f>
        <v>0</v>
      </c>
    </row>
    <row r="56" spans="1:7" ht="15.95" customHeight="1" x14ac:dyDescent="0.2">
      <c r="A56" s="316"/>
      <c r="B56" s="280"/>
      <c r="C56" s="280"/>
      <c r="D56" s="280"/>
      <c r="E56" s="280"/>
      <c r="F56" s="283" t="s">
        <v>178</v>
      </c>
      <c r="G56" s="213">
        <f>G54-G55</f>
        <v>0</v>
      </c>
    </row>
    <row r="57" spans="1:7" ht="15.95" customHeight="1" x14ac:dyDescent="0.2">
      <c r="A57" s="316"/>
      <c r="B57" s="280"/>
      <c r="C57" s="280"/>
      <c r="D57" s="280"/>
      <c r="E57" s="280"/>
      <c r="F57" s="212" t="s">
        <v>27</v>
      </c>
      <c r="G57" s="213">
        <f>G56*0.05</f>
        <v>0</v>
      </c>
    </row>
    <row r="58" spans="1:7" ht="15.95" customHeight="1" x14ac:dyDescent="0.2">
      <c r="A58" s="316"/>
      <c r="B58" s="280"/>
      <c r="C58" s="280"/>
      <c r="D58" s="280"/>
      <c r="E58" s="280"/>
      <c r="F58" s="283" t="s">
        <v>179</v>
      </c>
      <c r="G58" s="317">
        <f>G56+G57</f>
        <v>0</v>
      </c>
    </row>
    <row r="59" spans="1:7" ht="15.95" customHeight="1" x14ac:dyDescent="0.2">
      <c r="A59" s="316"/>
      <c r="B59" s="209"/>
      <c r="C59" s="209"/>
      <c r="D59" s="280"/>
      <c r="E59" s="206"/>
      <c r="F59" s="208"/>
    </row>
    <row r="60" spans="1:7" ht="15.95" customHeight="1" x14ac:dyDescent="0.2">
      <c r="A60" s="316"/>
      <c r="B60" s="207"/>
      <c r="C60" s="203"/>
      <c r="D60" s="280"/>
      <c r="E60" s="206"/>
      <c r="F60" s="205" t="str">
        <f>IF(SUM(F58)&gt;0,SUM((F58*F59)+F58),"")</f>
        <v/>
      </c>
    </row>
    <row r="61" spans="1:7" ht="15.95" customHeight="1" x14ac:dyDescent="0.2">
      <c r="A61" s="315"/>
      <c r="B61" s="203"/>
      <c r="C61" s="203"/>
      <c r="D61" s="280"/>
      <c r="E61" s="280"/>
      <c r="F61" s="280"/>
    </row>
    <row r="62" spans="1:7" ht="15.95" customHeight="1" x14ac:dyDescent="0.2">
      <c r="A62" s="216"/>
      <c r="B62" s="567"/>
      <c r="C62" s="567"/>
      <c r="D62" s="567"/>
      <c r="E62" s="567"/>
    </row>
    <row r="63" spans="1:7" ht="15.95" customHeight="1" x14ac:dyDescent="0.2">
      <c r="A63" s="280"/>
      <c r="B63" s="202"/>
      <c r="C63" s="201"/>
      <c r="D63" s="201"/>
      <c r="E63" s="201"/>
    </row>
    <row r="64" spans="1:7" ht="15.95" customHeight="1" x14ac:dyDescent="0.2">
      <c r="A64" s="280"/>
    </row>
    <row r="65" spans="1:6" ht="15.95" customHeight="1" x14ac:dyDescent="0.2">
      <c r="A65" s="280"/>
      <c r="B65" s="282"/>
      <c r="C65" s="282"/>
      <c r="D65" s="282"/>
      <c r="E65" s="282"/>
      <c r="F65" s="282"/>
    </row>
    <row r="66" spans="1:6" x14ac:dyDescent="0.2">
      <c r="A66" s="209"/>
    </row>
    <row r="67" spans="1:6" ht="15.95" customHeight="1" x14ac:dyDescent="0.2">
      <c r="A67" s="204"/>
    </row>
    <row r="68" spans="1:6" ht="15.95" customHeight="1" x14ac:dyDescent="0.2">
      <c r="A68" s="204"/>
    </row>
    <row r="69" spans="1:6" ht="15.95" customHeight="1" x14ac:dyDescent="0.2"/>
    <row r="70" spans="1:6" ht="15.95" customHeight="1" x14ac:dyDescent="0.2"/>
    <row r="71" spans="1:6" ht="15.95" customHeight="1" x14ac:dyDescent="0.2"/>
    <row r="72" spans="1:6" ht="15.95" customHeight="1" x14ac:dyDescent="0.2">
      <c r="A72" s="200"/>
    </row>
    <row r="73" spans="1:6" ht="15.95" customHeight="1" x14ac:dyDescent="0.2"/>
    <row r="74" spans="1:6" ht="15.95" customHeight="1" x14ac:dyDescent="0.2"/>
    <row r="75" spans="1:6" ht="15.95" customHeight="1" x14ac:dyDescent="0.2"/>
    <row r="76" spans="1:6" ht="10.5" customHeight="1" x14ac:dyDescent="0.2"/>
  </sheetData>
  <sheetProtection selectLockedCells="1"/>
  <mergeCells count="64">
    <mergeCell ref="C40:D40"/>
    <mergeCell ref="C39:D39"/>
    <mergeCell ref="C38:D38"/>
    <mergeCell ref="C41:D41"/>
    <mergeCell ref="E54:F54"/>
    <mergeCell ref="C53:D53"/>
    <mergeCell ref="C45:D45"/>
    <mergeCell ref="C50:D50"/>
    <mergeCell ref="C43:D43"/>
    <mergeCell ref="C47:D47"/>
    <mergeCell ref="C49:D49"/>
    <mergeCell ref="C52:D52"/>
    <mergeCell ref="C51:D51"/>
    <mergeCell ref="C48:D48"/>
    <mergeCell ref="C44:D44"/>
    <mergeCell ref="C2:F2"/>
    <mergeCell ref="A3:B3"/>
    <mergeCell ref="A2:B2"/>
    <mergeCell ref="E9:F9"/>
    <mergeCell ref="E4:F4"/>
    <mergeCell ref="E5:F5"/>
    <mergeCell ref="E6:F6"/>
    <mergeCell ref="A4:B4"/>
    <mergeCell ref="C3:F3"/>
    <mergeCell ref="B9:C9"/>
    <mergeCell ref="C6:D6"/>
    <mergeCell ref="A8:F8"/>
    <mergeCell ref="A6:B6"/>
    <mergeCell ref="A7:B7"/>
    <mergeCell ref="A5:B5"/>
    <mergeCell ref="C7:D7"/>
    <mergeCell ref="E10:F10"/>
    <mergeCell ref="A17:G17"/>
    <mergeCell ref="E11:F11"/>
    <mergeCell ref="A14:F14"/>
    <mergeCell ref="E12:F12"/>
    <mergeCell ref="E13:F13"/>
    <mergeCell ref="C36:D36"/>
    <mergeCell ref="C31:D31"/>
    <mergeCell ref="B10:C10"/>
    <mergeCell ref="B12:C12"/>
    <mergeCell ref="B13:C13"/>
    <mergeCell ref="C27:D27"/>
    <mergeCell ref="C20:D20"/>
    <mergeCell ref="C22:D22"/>
    <mergeCell ref="C28:D28"/>
    <mergeCell ref="C29:D29"/>
    <mergeCell ref="C30:D30"/>
    <mergeCell ref="C37:D37"/>
    <mergeCell ref="C42:D42"/>
    <mergeCell ref="B62:E62"/>
    <mergeCell ref="B11:C11"/>
    <mergeCell ref="C23:D23"/>
    <mergeCell ref="C24:D24"/>
    <mergeCell ref="C25:D25"/>
    <mergeCell ref="C18:D18"/>
    <mergeCell ref="C19:D19"/>
    <mergeCell ref="C21:D21"/>
    <mergeCell ref="D55:E55"/>
    <mergeCell ref="C26:D26"/>
    <mergeCell ref="C32:D32"/>
    <mergeCell ref="C33:D33"/>
    <mergeCell ref="C34:D34"/>
    <mergeCell ref="C35:D35"/>
  </mergeCells>
  <hyperlinks>
    <hyperlink ref="A7" r:id="rId1" xr:uid="{F5F7032F-4056-463C-9739-7DBE192AEAE0}"/>
  </hyperlinks>
  <printOptions horizontalCentered="1"/>
  <pageMargins left="0.74803149606299213" right="0.74803149606299213" top="0.51181102362204722" bottom="0.51181102362204722" header="0.51181102362204722" footer="0.51181102362204722"/>
  <pageSetup scale="75" orientation="portrait" r:id="rId2"/>
  <headerFooter alignWithMargins="0"/>
  <drawing r:id="rId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B7DA8B-37F6-49C7-85FD-B3BCD9922F89}">
  <sheetPr codeName="Sheet12">
    <pageSetUpPr fitToPage="1"/>
  </sheetPr>
  <dimension ref="A1:XFD76"/>
  <sheetViews>
    <sheetView showGridLines="0" topLeftCell="B1" workbookViewId="0">
      <selection activeCell="O2" sqref="O2"/>
    </sheetView>
  </sheetViews>
  <sheetFormatPr defaultColWidth="9.140625" defaultRowHeight="12.75" x14ac:dyDescent="0.2"/>
  <cols>
    <col min="1" max="1" width="12.7109375" style="284" customWidth="1"/>
    <col min="2" max="2" width="21" style="284" customWidth="1"/>
    <col min="3" max="3" width="13.140625" style="284" customWidth="1"/>
    <col min="4" max="4" width="12.42578125" style="284" customWidth="1"/>
    <col min="5" max="7" width="12.7109375" style="284" customWidth="1"/>
    <col min="8" max="16384" width="9.140625" style="284"/>
  </cols>
  <sheetData>
    <row r="1" spans="1:7" ht="42.75" customHeight="1" x14ac:dyDescent="0.2"/>
    <row r="2" spans="1:7" ht="16.5" customHeight="1" x14ac:dyDescent="0.25">
      <c r="A2" s="597"/>
      <c r="B2" s="598"/>
      <c r="C2" s="599"/>
      <c r="D2" s="599"/>
      <c r="E2" s="599"/>
      <c r="F2" s="599"/>
    </row>
    <row r="3" spans="1:7" ht="16.5" customHeight="1" x14ac:dyDescent="0.2">
      <c r="A3" s="600" t="s">
        <v>106</v>
      </c>
      <c r="B3" s="600"/>
      <c r="C3" s="599"/>
      <c r="D3" s="599"/>
      <c r="E3" s="599"/>
      <c r="F3" s="599"/>
    </row>
    <row r="4" spans="1:7" s="280" customFormat="1" ht="14.1" customHeight="1" x14ac:dyDescent="0.2">
      <c r="A4" s="590" t="s">
        <v>107</v>
      </c>
      <c r="B4" s="590"/>
      <c r="C4" s="237"/>
      <c r="D4" s="279" t="s">
        <v>108</v>
      </c>
      <c r="E4" s="590" t="s">
        <v>109</v>
      </c>
      <c r="F4" s="590"/>
    </row>
    <row r="5" spans="1:7" s="280" customFormat="1" ht="14.1" customHeight="1" x14ac:dyDescent="0.2">
      <c r="A5" s="590" t="s">
        <v>110</v>
      </c>
      <c r="B5" s="590"/>
      <c r="C5" s="237"/>
      <c r="D5" s="279" t="s">
        <v>111</v>
      </c>
      <c r="E5" s="591">
        <f ca="1">TODAY()</f>
        <v>45198</v>
      </c>
      <c r="F5" s="591"/>
    </row>
    <row r="6" spans="1:7" s="280" customFormat="1" ht="14.1" customHeight="1" x14ac:dyDescent="0.2">
      <c r="A6" s="590" t="s">
        <v>112</v>
      </c>
      <c r="B6" s="590"/>
      <c r="C6" s="592" t="s">
        <v>113</v>
      </c>
      <c r="D6" s="592"/>
      <c r="E6" s="590" t="s">
        <v>114</v>
      </c>
      <c r="F6" s="590"/>
    </row>
    <row r="7" spans="1:7" s="280" customFormat="1" ht="14.1" customHeight="1" x14ac:dyDescent="0.2">
      <c r="A7" s="496" t="s">
        <v>115</v>
      </c>
      <c r="B7" s="590"/>
      <c r="C7" s="593" t="s">
        <v>116</v>
      </c>
      <c r="D7" s="593"/>
      <c r="E7" s="236">
        <f ca="1">TODAY()+30</f>
        <v>45228</v>
      </c>
      <c r="F7" s="235"/>
    </row>
    <row r="8" spans="1:7" s="280" customFormat="1" ht="14.1" customHeight="1" x14ac:dyDescent="0.2">
      <c r="A8" s="594"/>
      <c r="B8" s="594"/>
      <c r="C8" s="594"/>
      <c r="D8" s="594"/>
      <c r="E8" s="594"/>
      <c r="F8" s="594"/>
    </row>
    <row r="9" spans="1:7" s="280" customFormat="1" ht="14.1" customHeight="1" x14ac:dyDescent="0.2">
      <c r="A9" s="234" t="s">
        <v>87</v>
      </c>
      <c r="B9" s="595" t="s">
        <v>23</v>
      </c>
      <c r="C9" s="582"/>
      <c r="D9" s="233"/>
      <c r="E9" s="583"/>
      <c r="F9" s="583"/>
    </row>
    <row r="10" spans="1:7" s="280" customFormat="1" ht="14.1" customHeight="1" x14ac:dyDescent="0.2">
      <c r="A10" s="232"/>
      <c r="B10" s="596"/>
      <c r="C10" s="596"/>
      <c r="D10" s="278"/>
      <c r="E10" s="583"/>
      <c r="F10" s="583"/>
    </row>
    <row r="11" spans="1:7" s="280" customFormat="1" ht="14.1" customHeight="1" x14ac:dyDescent="0.2">
      <c r="A11" s="278"/>
      <c r="B11" s="589" t="s">
        <v>117</v>
      </c>
      <c r="C11" s="589"/>
      <c r="D11" s="278"/>
      <c r="E11" s="583"/>
      <c r="F11" s="583"/>
    </row>
    <row r="12" spans="1:7" s="280" customFormat="1" ht="14.1" customHeight="1" x14ac:dyDescent="0.2">
      <c r="A12" s="278"/>
      <c r="B12" s="582" t="s">
        <v>118</v>
      </c>
      <c r="C12" s="582"/>
      <c r="D12" s="278"/>
      <c r="E12" s="583"/>
      <c r="F12" s="583"/>
    </row>
    <row r="13" spans="1:7" s="280" customFormat="1" ht="14.1" customHeight="1" x14ac:dyDescent="0.2">
      <c r="A13" s="278"/>
      <c r="B13" s="582" t="s">
        <v>119</v>
      </c>
      <c r="C13" s="582"/>
      <c r="D13" s="278"/>
      <c r="E13" s="583"/>
      <c r="F13" s="583"/>
    </row>
    <row r="14" spans="1:7" s="280" customFormat="1" ht="14.1" customHeight="1" thickBot="1" x14ac:dyDescent="0.25">
      <c r="A14" s="584" t="s">
        <v>120</v>
      </c>
      <c r="B14" s="585"/>
      <c r="C14" s="585"/>
      <c r="D14" s="585"/>
      <c r="E14" s="585"/>
      <c r="F14" s="585"/>
    </row>
    <row r="15" spans="1:7" ht="22.5" x14ac:dyDescent="0.2">
      <c r="A15" s="289" t="s">
        <v>121</v>
      </c>
      <c r="B15" s="289" t="s">
        <v>122</v>
      </c>
      <c r="C15" s="275" t="s">
        <v>123</v>
      </c>
      <c r="D15" s="275" t="s">
        <v>124</v>
      </c>
      <c r="E15" s="275" t="s">
        <v>125</v>
      </c>
      <c r="F15" s="275" t="s">
        <v>126</v>
      </c>
      <c r="G15" s="289" t="s">
        <v>127</v>
      </c>
    </row>
    <row r="16" spans="1:7" ht="15.95" customHeight="1" x14ac:dyDescent="0.2">
      <c r="A16" s="230"/>
      <c r="B16" s="230"/>
      <c r="C16" s="220"/>
      <c r="D16" s="220"/>
      <c r="E16" s="229"/>
      <c r="F16" s="220" t="s">
        <v>128</v>
      </c>
      <c r="G16" s="229"/>
    </row>
    <row r="17" spans="1:7" ht="15.95" customHeight="1" thickBot="1" x14ac:dyDescent="0.25">
      <c r="A17" s="586"/>
      <c r="B17" s="586"/>
      <c r="C17" s="586"/>
      <c r="D17" s="586"/>
      <c r="E17" s="586"/>
      <c r="F17" s="586"/>
      <c r="G17" s="586"/>
    </row>
    <row r="18" spans="1:7" ht="15.95" customHeight="1" x14ac:dyDescent="0.2">
      <c r="A18" s="274" t="s">
        <v>96</v>
      </c>
      <c r="B18" s="274" t="s">
        <v>129</v>
      </c>
      <c r="C18" s="587" t="s">
        <v>130</v>
      </c>
      <c r="D18" s="588"/>
      <c r="E18" s="289" t="s">
        <v>131</v>
      </c>
      <c r="F18" s="289" t="s">
        <v>132</v>
      </c>
      <c r="G18" s="289" t="s">
        <v>133</v>
      </c>
    </row>
    <row r="19" spans="1:7" ht="15.95" customHeight="1" x14ac:dyDescent="0.2">
      <c r="A19" s="222"/>
      <c r="B19" s="254" t="s">
        <v>134</v>
      </c>
      <c r="C19" s="570" t="s">
        <v>135</v>
      </c>
      <c r="D19" s="571"/>
      <c r="E19" s="213">
        <v>7</v>
      </c>
      <c r="F19" s="227"/>
      <c r="G19" s="320" t="str">
        <f t="shared" ref="G19:G37" si="0">IF(SUM(A19)&gt;0,SUM((A19*E19)-F19),"")</f>
        <v/>
      </c>
    </row>
    <row r="20" spans="1:7" ht="15.95" customHeight="1" x14ac:dyDescent="0.2">
      <c r="A20" s="222"/>
      <c r="B20" s="254" t="s">
        <v>134</v>
      </c>
      <c r="C20" s="570" t="s">
        <v>136</v>
      </c>
      <c r="D20" s="571"/>
      <c r="E20" s="213">
        <v>7.5</v>
      </c>
      <c r="F20" s="227"/>
      <c r="G20" s="320" t="str">
        <f t="shared" si="0"/>
        <v/>
      </c>
    </row>
    <row r="21" spans="1:7" ht="15.95" customHeight="1" x14ac:dyDescent="0.2">
      <c r="A21" s="222"/>
      <c r="B21" s="254" t="s">
        <v>134</v>
      </c>
      <c r="C21" s="570" t="s">
        <v>137</v>
      </c>
      <c r="D21" s="571"/>
      <c r="E21" s="213">
        <v>9</v>
      </c>
      <c r="F21" s="227"/>
      <c r="G21" s="320" t="str">
        <f t="shared" si="0"/>
        <v/>
      </c>
    </row>
    <row r="22" spans="1:7" ht="15.95" customHeight="1" x14ac:dyDescent="0.2">
      <c r="A22" s="222"/>
      <c r="B22" s="254" t="s">
        <v>134</v>
      </c>
      <c r="C22" s="570" t="s">
        <v>138</v>
      </c>
      <c r="D22" s="571"/>
      <c r="E22" s="213">
        <v>10</v>
      </c>
      <c r="F22" s="227"/>
      <c r="G22" s="320" t="str">
        <f t="shared" si="0"/>
        <v/>
      </c>
    </row>
    <row r="23" spans="1:7" ht="15.95" customHeight="1" x14ac:dyDescent="0.2">
      <c r="A23" s="222"/>
      <c r="B23" s="254" t="s">
        <v>134</v>
      </c>
      <c r="C23" s="570" t="s">
        <v>139</v>
      </c>
      <c r="D23" s="571"/>
      <c r="E23" s="213">
        <v>11</v>
      </c>
      <c r="F23" s="227"/>
      <c r="G23" s="320" t="str">
        <f t="shared" si="0"/>
        <v/>
      </c>
    </row>
    <row r="24" spans="1:7" ht="15.95" customHeight="1" x14ac:dyDescent="0.2">
      <c r="A24" s="222"/>
      <c r="B24" s="254" t="s">
        <v>134</v>
      </c>
      <c r="C24" s="570" t="s">
        <v>140</v>
      </c>
      <c r="D24" s="571"/>
      <c r="E24" s="213">
        <v>12</v>
      </c>
      <c r="F24" s="227"/>
      <c r="G24" s="320" t="str">
        <f t="shared" si="0"/>
        <v/>
      </c>
    </row>
    <row r="25" spans="1:7" ht="15.95" customHeight="1" x14ac:dyDescent="0.2">
      <c r="A25" s="222"/>
      <c r="B25" s="254" t="s">
        <v>134</v>
      </c>
      <c r="C25" s="570" t="s">
        <v>141</v>
      </c>
      <c r="D25" s="571"/>
      <c r="E25" s="213">
        <v>13.5</v>
      </c>
      <c r="F25" s="227"/>
      <c r="G25" s="320" t="str">
        <f t="shared" si="0"/>
        <v/>
      </c>
    </row>
    <row r="26" spans="1:7" ht="15.95" customHeight="1" x14ac:dyDescent="0.2">
      <c r="A26" s="222"/>
      <c r="B26" s="254" t="s">
        <v>134</v>
      </c>
      <c r="C26" s="570" t="s">
        <v>142</v>
      </c>
      <c r="D26" s="571"/>
      <c r="E26" s="213">
        <v>18</v>
      </c>
      <c r="F26" s="227"/>
      <c r="G26" s="320" t="str">
        <f t="shared" si="0"/>
        <v/>
      </c>
    </row>
    <row r="27" spans="1:7" ht="15.95" customHeight="1" x14ac:dyDescent="0.2">
      <c r="A27" s="222"/>
      <c r="B27" s="254" t="s">
        <v>134</v>
      </c>
      <c r="C27" s="570" t="s">
        <v>143</v>
      </c>
      <c r="D27" s="571"/>
      <c r="E27" s="213">
        <v>23</v>
      </c>
      <c r="F27" s="227"/>
      <c r="G27" s="320" t="str">
        <f t="shared" si="0"/>
        <v/>
      </c>
    </row>
    <row r="28" spans="1:7" ht="15.95" customHeight="1" x14ac:dyDescent="0.2">
      <c r="A28" s="222"/>
      <c r="B28" s="254" t="s">
        <v>134</v>
      </c>
      <c r="C28" s="570" t="s">
        <v>144</v>
      </c>
      <c r="D28" s="571"/>
      <c r="E28" s="213">
        <v>29</v>
      </c>
      <c r="F28" s="227"/>
      <c r="G28" s="320" t="str">
        <f t="shared" si="0"/>
        <v/>
      </c>
    </row>
    <row r="29" spans="1:7" ht="15.95" customHeight="1" x14ac:dyDescent="0.2">
      <c r="A29" s="222"/>
      <c r="B29" s="254" t="s">
        <v>134</v>
      </c>
      <c r="C29" s="570" t="s">
        <v>145</v>
      </c>
      <c r="D29" s="571"/>
      <c r="E29" s="213">
        <v>36</v>
      </c>
      <c r="F29" s="227"/>
      <c r="G29" s="320" t="str">
        <f t="shared" si="0"/>
        <v/>
      </c>
    </row>
    <row r="30" spans="1:7" ht="15.95" customHeight="1" x14ac:dyDescent="0.2">
      <c r="A30" s="222"/>
      <c r="B30" s="254" t="s">
        <v>134</v>
      </c>
      <c r="C30" s="570" t="s">
        <v>146</v>
      </c>
      <c r="D30" s="571"/>
      <c r="E30" s="213">
        <v>42.5</v>
      </c>
      <c r="F30" s="227"/>
      <c r="G30" s="320" t="str">
        <f t="shared" si="0"/>
        <v/>
      </c>
    </row>
    <row r="31" spans="1:7" ht="15.95" customHeight="1" x14ac:dyDescent="0.2">
      <c r="A31" s="222"/>
      <c r="B31" s="254" t="s">
        <v>134</v>
      </c>
      <c r="C31" s="570" t="s">
        <v>147</v>
      </c>
      <c r="D31" s="571"/>
      <c r="E31" s="213">
        <v>49</v>
      </c>
      <c r="F31" s="227"/>
      <c r="G31" s="320" t="str">
        <f t="shared" si="0"/>
        <v/>
      </c>
    </row>
    <row r="32" spans="1:7" ht="15.95" customHeight="1" x14ac:dyDescent="0.2">
      <c r="A32" s="222"/>
      <c r="B32" s="254" t="s">
        <v>134</v>
      </c>
      <c r="C32" s="570" t="s">
        <v>148</v>
      </c>
      <c r="D32" s="571"/>
      <c r="E32" s="213">
        <v>65</v>
      </c>
      <c r="F32" s="227"/>
      <c r="G32" s="320" t="str">
        <f t="shared" si="0"/>
        <v/>
      </c>
    </row>
    <row r="33" spans="1:7 16384:16384" ht="15.95" customHeight="1" x14ac:dyDescent="0.2">
      <c r="A33" s="222"/>
      <c r="B33" s="254" t="s">
        <v>134</v>
      </c>
      <c r="C33" s="570" t="s">
        <v>149</v>
      </c>
      <c r="D33" s="571"/>
      <c r="E33" s="213">
        <v>70</v>
      </c>
      <c r="F33" s="227"/>
      <c r="G33" s="320" t="str">
        <f t="shared" si="0"/>
        <v/>
      </c>
    </row>
    <row r="34" spans="1:7 16384:16384" ht="15.95" customHeight="1" x14ac:dyDescent="0.2">
      <c r="A34" s="222"/>
      <c r="B34" s="254" t="s">
        <v>134</v>
      </c>
      <c r="C34" s="570" t="s">
        <v>150</v>
      </c>
      <c r="D34" s="571"/>
      <c r="E34" s="213">
        <v>80</v>
      </c>
      <c r="F34" s="227"/>
      <c r="G34" s="320" t="str">
        <f t="shared" si="0"/>
        <v/>
      </c>
    </row>
    <row r="35" spans="1:7 16384:16384" ht="15.95" customHeight="1" x14ac:dyDescent="0.2">
      <c r="A35" s="222"/>
      <c r="B35" s="254" t="s">
        <v>134</v>
      </c>
      <c r="C35" s="570" t="s">
        <v>151</v>
      </c>
      <c r="D35" s="571"/>
      <c r="E35" s="213">
        <v>86</v>
      </c>
      <c r="F35" s="227"/>
      <c r="G35" s="320" t="str">
        <f t="shared" si="0"/>
        <v/>
      </c>
    </row>
    <row r="36" spans="1:7 16384:16384" ht="15.95" customHeight="1" x14ac:dyDescent="0.2">
      <c r="A36" s="222"/>
      <c r="B36" s="254" t="s">
        <v>134</v>
      </c>
      <c r="C36" s="570" t="s">
        <v>152</v>
      </c>
      <c r="D36" s="571"/>
      <c r="E36" s="213">
        <v>95</v>
      </c>
      <c r="F36" s="227"/>
      <c r="G36" s="320" t="str">
        <f t="shared" si="0"/>
        <v/>
      </c>
    </row>
    <row r="37" spans="1:7 16384:16384" ht="15.95" customHeight="1" x14ac:dyDescent="0.2">
      <c r="A37" s="222"/>
      <c r="B37" s="254" t="s">
        <v>134</v>
      </c>
      <c r="C37" s="570" t="s">
        <v>153</v>
      </c>
      <c r="D37" s="571"/>
      <c r="E37" s="213">
        <v>120</v>
      </c>
      <c r="F37" s="227"/>
      <c r="G37" s="320" t="str">
        <f t="shared" si="0"/>
        <v/>
      </c>
    </row>
    <row r="38" spans="1:7 16384:16384" ht="15.95" customHeight="1" x14ac:dyDescent="0.2">
      <c r="A38" s="222"/>
      <c r="B38" s="257" t="s">
        <v>154</v>
      </c>
      <c r="C38" s="578" t="s">
        <v>155</v>
      </c>
      <c r="D38" s="579"/>
      <c r="E38" s="245" t="s">
        <v>156</v>
      </c>
      <c r="F38" s="256"/>
      <c r="G38" s="322"/>
    </row>
    <row r="39" spans="1:7 16384:16384" ht="15.95" customHeight="1" x14ac:dyDescent="0.2">
      <c r="A39" s="222"/>
      <c r="B39" s="254" t="s">
        <v>157</v>
      </c>
      <c r="C39" s="570" t="s">
        <v>158</v>
      </c>
      <c r="D39" s="571"/>
      <c r="E39" s="213">
        <v>1.25</v>
      </c>
      <c r="F39" s="226">
        <f>(A39*E39)</f>
        <v>0</v>
      </c>
      <c r="G39" s="320">
        <f>(A39*E39)*2</f>
        <v>0</v>
      </c>
    </row>
    <row r="40" spans="1:7 16384:16384" ht="15.95" customHeight="1" x14ac:dyDescent="0.2">
      <c r="A40" s="222"/>
      <c r="B40" s="254" t="s">
        <v>159</v>
      </c>
      <c r="C40" s="570" t="s">
        <v>160</v>
      </c>
      <c r="D40" s="571"/>
      <c r="E40" s="213">
        <v>2.5</v>
      </c>
      <c r="F40" s="226">
        <f>(A40*E40)</f>
        <v>0</v>
      </c>
      <c r="G40" s="320">
        <f>(A40*E40)*2.5</f>
        <v>0</v>
      </c>
    </row>
    <row r="41" spans="1:7 16384:16384" ht="15.95" customHeight="1" x14ac:dyDescent="0.2">
      <c r="A41" s="222"/>
      <c r="B41" s="254" t="s">
        <v>161</v>
      </c>
      <c r="C41" s="570" t="s">
        <v>162</v>
      </c>
      <c r="D41" s="571"/>
      <c r="E41" s="213">
        <v>4</v>
      </c>
      <c r="F41" s="226">
        <f>(A41*E41)</f>
        <v>0</v>
      </c>
      <c r="G41" s="320">
        <f>(A41*E41)*2</f>
        <v>0</v>
      </c>
    </row>
    <row r="42" spans="1:7 16384:16384" ht="15.95" customHeight="1" x14ac:dyDescent="0.2">
      <c r="A42" s="222"/>
      <c r="B42" s="230" t="s">
        <v>163</v>
      </c>
      <c r="C42" s="576" t="s">
        <v>164</v>
      </c>
      <c r="D42" s="577"/>
      <c r="E42" s="222" t="s">
        <v>156</v>
      </c>
      <c r="F42" s="256"/>
      <c r="G42" s="255"/>
    </row>
    <row r="43" spans="1:7 16384:16384" ht="15.95" customHeight="1" x14ac:dyDescent="0.2">
      <c r="A43" s="222"/>
      <c r="B43" s="254" t="s">
        <v>165</v>
      </c>
      <c r="C43" s="570"/>
      <c r="D43" s="571"/>
      <c r="E43" s="213">
        <v>115</v>
      </c>
      <c r="F43" s="227"/>
      <c r="G43" s="226" t="str">
        <f>IF(SUM(A43)&gt;0,SUM((A43*E43)-F43),"")</f>
        <v/>
      </c>
    </row>
    <row r="44" spans="1:7 16384:16384" ht="15.95" customHeight="1" x14ac:dyDescent="0.2">
      <c r="A44" s="222"/>
      <c r="B44" s="254" t="s">
        <v>166</v>
      </c>
      <c r="C44" s="570"/>
      <c r="D44" s="571"/>
      <c r="E44" s="213">
        <v>40</v>
      </c>
      <c r="F44" s="227"/>
      <c r="G44" s="320" t="str">
        <f>IF(SUM(A44)&gt;0,SUM((A44*E44)-F44),"")</f>
        <v/>
      </c>
    </row>
    <row r="45" spans="1:7 16384:16384" ht="15.95" customHeight="1" x14ac:dyDescent="0.2">
      <c r="A45" s="222"/>
      <c r="B45" s="330" t="s">
        <v>167</v>
      </c>
      <c r="C45" s="572"/>
      <c r="D45" s="573"/>
      <c r="E45" s="213"/>
      <c r="F45" s="227"/>
      <c r="G45" s="320">
        <f>SUM(G19:G42,G44)</f>
        <v>0</v>
      </c>
    </row>
    <row r="46" spans="1:7 16384:16384" ht="15.95" customHeight="1" x14ac:dyDescent="0.2">
      <c r="A46" s="222"/>
      <c r="B46" s="330"/>
      <c r="C46" s="329"/>
      <c r="D46" s="328"/>
      <c r="E46" s="213"/>
      <c r="F46" s="227"/>
      <c r="G46" s="213"/>
    </row>
    <row r="47" spans="1:7 16384:16384" ht="15.95" customHeight="1" x14ac:dyDescent="0.2">
      <c r="A47" s="326"/>
      <c r="B47" s="327" t="s">
        <v>168</v>
      </c>
      <c r="C47" s="580" t="s">
        <v>169</v>
      </c>
      <c r="D47" s="581"/>
      <c r="E47" s="326"/>
      <c r="F47" s="325"/>
      <c r="G47" s="226">
        <f>SUM(F39,F40,F41,F42,G43)*0.07</f>
        <v>0</v>
      </c>
      <c r="XFD47" s="324">
        <f>SUM(A47:XFC47)</f>
        <v>0</v>
      </c>
    </row>
    <row r="48" spans="1:7 16384:16384" ht="15.95" customHeight="1" x14ac:dyDescent="0.2">
      <c r="A48" s="222"/>
      <c r="B48" s="230" t="s">
        <v>170</v>
      </c>
      <c r="C48" s="576"/>
      <c r="D48" s="577"/>
      <c r="E48" s="222">
        <v>75</v>
      </c>
      <c r="F48" s="256"/>
      <c r="G48" s="245">
        <f>(A48*E48)</f>
        <v>0</v>
      </c>
    </row>
    <row r="49" spans="1:7" ht="15.95" customHeight="1" x14ac:dyDescent="0.2">
      <c r="A49" s="222"/>
      <c r="B49" s="230" t="s">
        <v>171</v>
      </c>
      <c r="C49" s="568" t="s">
        <v>172</v>
      </c>
      <c r="D49" s="569"/>
      <c r="E49" s="222"/>
      <c r="F49" s="256"/>
      <c r="G49" s="322"/>
    </row>
    <row r="50" spans="1:7" ht="15.95" customHeight="1" x14ac:dyDescent="0.2">
      <c r="A50" s="222"/>
      <c r="B50" s="254" t="s">
        <v>171</v>
      </c>
      <c r="C50" s="570" t="s">
        <v>173</v>
      </c>
      <c r="D50" s="571"/>
      <c r="E50" s="213">
        <v>115</v>
      </c>
      <c r="F50" s="227"/>
      <c r="G50" s="320">
        <f>IF(SUM(A50)&gt;0,SUM((A50*E50)-F50),)</f>
        <v>0</v>
      </c>
    </row>
    <row r="51" spans="1:7" ht="15.95" customHeight="1" x14ac:dyDescent="0.2">
      <c r="A51" s="222"/>
      <c r="B51" s="230" t="s">
        <v>174</v>
      </c>
      <c r="C51" s="568" t="s">
        <v>172</v>
      </c>
      <c r="D51" s="569"/>
      <c r="E51" s="222"/>
      <c r="F51" s="256"/>
      <c r="G51" s="322"/>
    </row>
    <row r="52" spans="1:7" ht="15.95" customHeight="1" x14ac:dyDescent="0.2">
      <c r="A52" s="222"/>
      <c r="B52" s="254" t="s">
        <v>175</v>
      </c>
      <c r="C52" s="572"/>
      <c r="D52" s="573"/>
      <c r="E52" s="213">
        <v>75</v>
      </c>
      <c r="F52" s="227"/>
      <c r="G52" s="320">
        <f>IF(SUM(A52)&gt;0,SUM((A52*E52)-F52),)</f>
        <v>0</v>
      </c>
    </row>
    <row r="53" spans="1:7" ht="15.95" customHeight="1" x14ac:dyDescent="0.2">
      <c r="A53" s="321"/>
      <c r="B53" s="254"/>
      <c r="C53" s="572"/>
      <c r="D53" s="573"/>
      <c r="E53" s="213"/>
      <c r="F53" s="227"/>
      <c r="G53" s="320"/>
    </row>
    <row r="54" spans="1:7" ht="15.95" customHeight="1" x14ac:dyDescent="0.2">
      <c r="A54" s="316"/>
      <c r="E54" s="574" t="s">
        <v>176</v>
      </c>
      <c r="F54" s="575"/>
      <c r="G54" s="319">
        <f>SUM(G47,G48,G49,G50,G51,G52,G45)</f>
        <v>0</v>
      </c>
    </row>
    <row r="55" spans="1:7" ht="15.95" customHeight="1" x14ac:dyDescent="0.2">
      <c r="A55" s="316"/>
      <c r="B55" s="203"/>
      <c r="C55" s="203"/>
      <c r="D55" s="566" t="s">
        <v>177</v>
      </c>
      <c r="E55" s="566"/>
      <c r="F55" s="249"/>
      <c r="G55" s="318">
        <f>G54*F55</f>
        <v>0</v>
      </c>
    </row>
    <row r="56" spans="1:7" ht="15.95" customHeight="1" x14ac:dyDescent="0.2">
      <c r="A56" s="316"/>
      <c r="B56" s="280"/>
      <c r="C56" s="280"/>
      <c r="D56" s="280"/>
      <c r="E56" s="280"/>
      <c r="F56" s="283" t="s">
        <v>178</v>
      </c>
      <c r="G56" s="213">
        <f>G54-G55</f>
        <v>0</v>
      </c>
    </row>
    <row r="57" spans="1:7" ht="15.95" customHeight="1" x14ac:dyDescent="0.2">
      <c r="A57" s="316"/>
      <c r="B57" s="280"/>
      <c r="C57" s="280"/>
      <c r="D57" s="280"/>
      <c r="E57" s="280"/>
      <c r="F57" s="212" t="s">
        <v>27</v>
      </c>
      <c r="G57" s="213">
        <f>G56*0.05</f>
        <v>0</v>
      </c>
    </row>
    <row r="58" spans="1:7" ht="15.95" customHeight="1" x14ac:dyDescent="0.2">
      <c r="A58" s="316"/>
      <c r="B58" s="280"/>
      <c r="C58" s="280"/>
      <c r="D58" s="280"/>
      <c r="E58" s="280"/>
      <c r="F58" s="283" t="s">
        <v>179</v>
      </c>
      <c r="G58" s="317">
        <f>G56+G57</f>
        <v>0</v>
      </c>
    </row>
    <row r="59" spans="1:7" ht="15.95" customHeight="1" x14ac:dyDescent="0.2">
      <c r="A59" s="316"/>
      <c r="B59" s="209"/>
      <c r="C59" s="209"/>
      <c r="D59" s="280"/>
      <c r="E59" s="206"/>
      <c r="F59" s="208"/>
    </row>
    <row r="60" spans="1:7" ht="15.95" customHeight="1" x14ac:dyDescent="0.2">
      <c r="A60" s="316"/>
      <c r="B60" s="207"/>
      <c r="C60" s="203"/>
      <c r="D60" s="280"/>
      <c r="E60" s="206"/>
      <c r="F60" s="205" t="str">
        <f>IF(SUM(F58)&gt;0,SUM((F58*F59)+F58),"")</f>
        <v/>
      </c>
    </row>
    <row r="61" spans="1:7" ht="15.95" customHeight="1" x14ac:dyDescent="0.2">
      <c r="A61" s="315"/>
      <c r="B61" s="203"/>
      <c r="C61" s="203"/>
      <c r="D61" s="280"/>
      <c r="E61" s="280"/>
      <c r="F61" s="280"/>
    </row>
    <row r="62" spans="1:7" ht="15.95" customHeight="1" x14ac:dyDescent="0.2">
      <c r="A62" s="216"/>
      <c r="B62" s="567"/>
      <c r="C62" s="567"/>
      <c r="D62" s="567"/>
      <c r="E62" s="567"/>
    </row>
    <row r="63" spans="1:7" ht="15.95" customHeight="1" x14ac:dyDescent="0.2">
      <c r="A63" s="280"/>
      <c r="B63" s="202"/>
      <c r="C63" s="201"/>
      <c r="D63" s="201"/>
      <c r="E63" s="201"/>
    </row>
    <row r="64" spans="1:7" ht="15.95" customHeight="1" x14ac:dyDescent="0.2">
      <c r="A64" s="280"/>
    </row>
    <row r="65" spans="1:6" ht="15.95" customHeight="1" x14ac:dyDescent="0.2">
      <c r="A65" s="280"/>
      <c r="B65" s="282"/>
      <c r="C65" s="282"/>
      <c r="D65" s="282"/>
      <c r="E65" s="282"/>
      <c r="F65" s="282"/>
    </row>
    <row r="66" spans="1:6" x14ac:dyDescent="0.2">
      <c r="A66" s="209"/>
    </row>
    <row r="67" spans="1:6" ht="15.95" customHeight="1" x14ac:dyDescent="0.2">
      <c r="A67" s="204"/>
    </row>
    <row r="68" spans="1:6" ht="15.95" customHeight="1" x14ac:dyDescent="0.2">
      <c r="A68" s="204"/>
    </row>
    <row r="69" spans="1:6" ht="15.95" customHeight="1" x14ac:dyDescent="0.2"/>
    <row r="70" spans="1:6" ht="15.95" customHeight="1" x14ac:dyDescent="0.2"/>
    <row r="71" spans="1:6" ht="15.95" customHeight="1" x14ac:dyDescent="0.2"/>
    <row r="72" spans="1:6" ht="15.95" customHeight="1" x14ac:dyDescent="0.2">
      <c r="A72" s="200"/>
    </row>
    <row r="73" spans="1:6" ht="15.95" customHeight="1" x14ac:dyDescent="0.2"/>
    <row r="74" spans="1:6" ht="15.95" customHeight="1" x14ac:dyDescent="0.2"/>
    <row r="75" spans="1:6" ht="15.95" customHeight="1" x14ac:dyDescent="0.2"/>
    <row r="76" spans="1:6" ht="10.5" customHeight="1" x14ac:dyDescent="0.2"/>
  </sheetData>
  <sheetProtection selectLockedCells="1"/>
  <mergeCells count="64">
    <mergeCell ref="C32:D32"/>
    <mergeCell ref="C33:D33"/>
    <mergeCell ref="C34:D34"/>
    <mergeCell ref="B62:E62"/>
    <mergeCell ref="B11:C11"/>
    <mergeCell ref="C23:D23"/>
    <mergeCell ref="C24:D24"/>
    <mergeCell ref="C25:D25"/>
    <mergeCell ref="C18:D18"/>
    <mergeCell ref="C19:D19"/>
    <mergeCell ref="C21:D21"/>
    <mergeCell ref="D55:E55"/>
    <mergeCell ref="C26:D26"/>
    <mergeCell ref="C20:D20"/>
    <mergeCell ref="C22:D22"/>
    <mergeCell ref="C28:D28"/>
    <mergeCell ref="C30:D30"/>
    <mergeCell ref="C31:D31"/>
    <mergeCell ref="C27:D27"/>
    <mergeCell ref="B10:C10"/>
    <mergeCell ref="B12:C12"/>
    <mergeCell ref="B13:C13"/>
    <mergeCell ref="E10:F10"/>
    <mergeCell ref="C49:D49"/>
    <mergeCell ref="A17:G17"/>
    <mergeCell ref="E11:F11"/>
    <mergeCell ref="A14:F14"/>
    <mergeCell ref="E12:F12"/>
    <mergeCell ref="E13:F13"/>
    <mergeCell ref="C35:D35"/>
    <mergeCell ref="C36:D36"/>
    <mergeCell ref="C37:D37"/>
    <mergeCell ref="C42:D42"/>
    <mergeCell ref="C40:D40"/>
    <mergeCell ref="C39:D39"/>
    <mergeCell ref="C38:D38"/>
    <mergeCell ref="C41:D41"/>
    <mergeCell ref="C29:D29"/>
    <mergeCell ref="C2:F2"/>
    <mergeCell ref="A3:B3"/>
    <mergeCell ref="A2:B2"/>
    <mergeCell ref="E9:F9"/>
    <mergeCell ref="E4:F4"/>
    <mergeCell ref="E5:F5"/>
    <mergeCell ref="E6:F6"/>
    <mergeCell ref="A4:B4"/>
    <mergeCell ref="C3:F3"/>
    <mergeCell ref="B9:C9"/>
    <mergeCell ref="C6:D6"/>
    <mergeCell ref="A8:F8"/>
    <mergeCell ref="A6:B6"/>
    <mergeCell ref="A7:B7"/>
    <mergeCell ref="A5:B5"/>
    <mergeCell ref="C7:D7"/>
    <mergeCell ref="E54:F54"/>
    <mergeCell ref="C53:D53"/>
    <mergeCell ref="C45:D45"/>
    <mergeCell ref="C50:D50"/>
    <mergeCell ref="C43:D43"/>
    <mergeCell ref="C47:D47"/>
    <mergeCell ref="C48:D48"/>
    <mergeCell ref="C44:D44"/>
    <mergeCell ref="C52:D52"/>
    <mergeCell ref="C51:D51"/>
  </mergeCells>
  <hyperlinks>
    <hyperlink ref="A7" r:id="rId1" xr:uid="{C59A3143-BD78-4DC7-B865-61E8F1873ED9}"/>
  </hyperlinks>
  <printOptions horizontalCentered="1"/>
  <pageMargins left="0.74803149606299213" right="0.74803149606299213" top="0.51181102362204722" bottom="0.51181102362204722" header="0.51181102362204722" footer="0.51181102362204722"/>
  <pageSetup scale="73" orientation="portrait" r:id="rId2"/>
  <headerFooter alignWithMargins="0"/>
  <drawing r:id="rId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F76DE8-F256-4E55-A627-9FD212D6E0BD}">
  <sheetPr codeName="Sheet14">
    <pageSetUpPr fitToPage="1"/>
  </sheetPr>
  <dimension ref="A1:G59"/>
  <sheetViews>
    <sheetView showGridLines="0" zoomScaleNormal="100" workbookViewId="0">
      <selection activeCell="O2" sqref="O2"/>
    </sheetView>
  </sheetViews>
  <sheetFormatPr defaultColWidth="9.140625" defaultRowHeight="12.75" x14ac:dyDescent="0.2"/>
  <cols>
    <col min="1" max="1" width="12.7109375" style="284" customWidth="1"/>
    <col min="2" max="2" width="14.42578125" style="284" customWidth="1"/>
    <col min="3" max="3" width="13.140625" style="284" customWidth="1"/>
    <col min="4" max="4" width="12.42578125" style="284" customWidth="1"/>
    <col min="5" max="7" width="12.7109375" style="284" customWidth="1"/>
    <col min="8" max="16384" width="9.140625" style="284"/>
  </cols>
  <sheetData>
    <row r="1" spans="1:7" ht="42.75" customHeight="1" x14ac:dyDescent="0.2"/>
    <row r="2" spans="1:7" ht="16.5" customHeight="1" x14ac:dyDescent="0.25">
      <c r="A2" s="597"/>
      <c r="B2" s="598"/>
      <c r="C2" s="599"/>
      <c r="D2" s="599"/>
      <c r="E2" s="599"/>
      <c r="F2" s="599"/>
    </row>
    <row r="3" spans="1:7" ht="16.5" customHeight="1" x14ac:dyDescent="0.2">
      <c r="A3" s="600" t="s">
        <v>106</v>
      </c>
      <c r="B3" s="600"/>
      <c r="C3" s="599"/>
      <c r="D3" s="599"/>
      <c r="E3" s="599"/>
      <c r="F3" s="599"/>
    </row>
    <row r="4" spans="1:7" s="280" customFormat="1" ht="14.1" customHeight="1" x14ac:dyDescent="0.2">
      <c r="A4" s="590" t="s">
        <v>107</v>
      </c>
      <c r="B4" s="590"/>
      <c r="C4" s="237"/>
      <c r="D4" s="279" t="s">
        <v>108</v>
      </c>
      <c r="E4" s="590"/>
      <c r="F4" s="590"/>
    </row>
    <row r="5" spans="1:7" s="280" customFormat="1" ht="14.1" customHeight="1" x14ac:dyDescent="0.2">
      <c r="A5" s="590" t="s">
        <v>110</v>
      </c>
      <c r="B5" s="590"/>
      <c r="C5" s="237"/>
      <c r="D5" s="279" t="s">
        <v>111</v>
      </c>
      <c r="E5" s="591">
        <f ca="1">TODAY()</f>
        <v>45198</v>
      </c>
      <c r="F5" s="591"/>
    </row>
    <row r="6" spans="1:7" s="280" customFormat="1" ht="14.1" customHeight="1" x14ac:dyDescent="0.2">
      <c r="A6" s="590" t="s">
        <v>112</v>
      </c>
      <c r="B6" s="590"/>
      <c r="C6" s="592" t="s">
        <v>113</v>
      </c>
      <c r="D6" s="592"/>
      <c r="E6" s="590"/>
      <c r="F6" s="590"/>
    </row>
    <row r="7" spans="1:7" s="280" customFormat="1" ht="14.1" customHeight="1" x14ac:dyDescent="0.2">
      <c r="A7" s="496" t="s">
        <v>115</v>
      </c>
      <c r="B7" s="590"/>
      <c r="C7" s="593" t="s">
        <v>116</v>
      </c>
      <c r="D7" s="593"/>
      <c r="E7" s="236">
        <f ca="1">TODAY()+30</f>
        <v>45228</v>
      </c>
      <c r="F7" s="235"/>
    </row>
    <row r="8" spans="1:7" s="280" customFormat="1" ht="14.1" customHeight="1" x14ac:dyDescent="0.2">
      <c r="A8" s="594"/>
      <c r="B8" s="594"/>
      <c r="C8" s="594"/>
      <c r="D8" s="594"/>
      <c r="E8" s="594"/>
      <c r="F8" s="594"/>
    </row>
    <row r="9" spans="1:7" s="280" customFormat="1" ht="14.1" customHeight="1" x14ac:dyDescent="0.2">
      <c r="A9" s="234" t="s">
        <v>87</v>
      </c>
      <c r="B9" s="708" t="s">
        <v>23</v>
      </c>
      <c r="C9" s="697"/>
      <c r="D9" s="233"/>
      <c r="E9" s="583"/>
      <c r="F9" s="583"/>
      <c r="G9" s="278"/>
    </row>
    <row r="10" spans="1:7" s="280" customFormat="1" ht="14.1" customHeight="1" x14ac:dyDescent="0.2">
      <c r="A10" s="232"/>
      <c r="B10" s="596"/>
      <c r="C10" s="596"/>
      <c r="D10" s="278"/>
      <c r="E10" s="583"/>
      <c r="F10" s="583"/>
      <c r="G10" s="278"/>
    </row>
    <row r="11" spans="1:7" s="280" customFormat="1" ht="14.1" customHeight="1" x14ac:dyDescent="0.2">
      <c r="A11" s="278"/>
      <c r="B11" s="719" t="s">
        <v>293</v>
      </c>
      <c r="C11" s="596"/>
      <c r="D11" s="278"/>
      <c r="E11" s="583"/>
      <c r="F11" s="583"/>
      <c r="G11" s="278"/>
    </row>
    <row r="12" spans="1:7" s="280" customFormat="1" ht="14.1" customHeight="1" x14ac:dyDescent="0.2">
      <c r="A12" s="278"/>
      <c r="B12" s="596" t="s">
        <v>118</v>
      </c>
      <c r="C12" s="596"/>
      <c r="D12" s="278"/>
      <c r="E12" s="583"/>
      <c r="F12" s="583"/>
      <c r="G12" s="278"/>
    </row>
    <row r="13" spans="1:7" s="280" customFormat="1" ht="14.1" customHeight="1" x14ac:dyDescent="0.2">
      <c r="A13" s="278"/>
      <c r="B13" s="596" t="s">
        <v>119</v>
      </c>
      <c r="C13" s="596"/>
      <c r="D13" s="278"/>
      <c r="E13" s="583"/>
      <c r="F13" s="583"/>
      <c r="G13" s="278"/>
    </row>
    <row r="14" spans="1:7" s="280" customFormat="1" ht="14.1" customHeight="1" thickBot="1" x14ac:dyDescent="0.25">
      <c r="A14" s="584" t="s">
        <v>292</v>
      </c>
      <c r="B14" s="710"/>
      <c r="C14" s="710"/>
      <c r="D14" s="710"/>
      <c r="E14" s="710"/>
      <c r="F14" s="710"/>
      <c r="G14" s="278"/>
    </row>
    <row r="15" spans="1:7" ht="22.5" x14ac:dyDescent="0.2">
      <c r="A15" s="281" t="s">
        <v>121</v>
      </c>
      <c r="B15" s="281" t="s">
        <v>122</v>
      </c>
      <c r="C15" s="231" t="s">
        <v>123</v>
      </c>
      <c r="D15" s="231" t="s">
        <v>124</v>
      </c>
      <c r="E15" s="231" t="s">
        <v>291</v>
      </c>
      <c r="F15" s="231" t="s">
        <v>126</v>
      </c>
      <c r="G15" s="281" t="s">
        <v>127</v>
      </c>
    </row>
    <row r="16" spans="1:7" ht="15.95" customHeight="1" x14ac:dyDescent="0.2">
      <c r="A16" s="230"/>
      <c r="B16" s="230"/>
      <c r="C16" s="220"/>
      <c r="D16" s="220"/>
      <c r="E16" s="229"/>
      <c r="F16" s="220" t="s">
        <v>290</v>
      </c>
      <c r="G16" s="229"/>
    </row>
    <row r="17" spans="1:7" ht="15.95" customHeight="1" thickBot="1" x14ac:dyDescent="0.25">
      <c r="A17" s="709"/>
      <c r="B17" s="709"/>
      <c r="C17" s="710"/>
      <c r="D17" s="710"/>
      <c r="E17" s="710"/>
      <c r="F17" s="710"/>
      <c r="G17" s="710"/>
    </row>
    <row r="18" spans="1:7" ht="15.95" customHeight="1" x14ac:dyDescent="0.2">
      <c r="A18" s="228" t="s">
        <v>96</v>
      </c>
      <c r="B18" s="228" t="s">
        <v>129</v>
      </c>
      <c r="C18" s="712" t="s">
        <v>130</v>
      </c>
      <c r="D18" s="713"/>
      <c r="E18" s="281" t="s">
        <v>131</v>
      </c>
      <c r="F18" s="281" t="s">
        <v>132</v>
      </c>
      <c r="G18" s="289" t="s">
        <v>133</v>
      </c>
    </row>
    <row r="19" spans="1:7" ht="15.95" customHeight="1" x14ac:dyDescent="0.2">
      <c r="A19" s="222"/>
      <c r="B19" s="223" t="s">
        <v>289</v>
      </c>
      <c r="C19" s="714" t="s">
        <v>199</v>
      </c>
      <c r="D19" s="714"/>
      <c r="E19" s="227">
        <v>1.5</v>
      </c>
      <c r="F19" s="221"/>
      <c r="G19" s="213" t="str">
        <f t="shared" ref="G19:G25" si="0">IF(SUM(A19)&gt;0,SUM((A19*E19)-F19),"")</f>
        <v/>
      </c>
    </row>
    <row r="20" spans="1:7" ht="15.95" customHeight="1" x14ac:dyDescent="0.2">
      <c r="A20" s="222"/>
      <c r="B20" s="223" t="s">
        <v>288</v>
      </c>
      <c r="C20" s="715" t="s">
        <v>199</v>
      </c>
      <c r="D20" s="716"/>
      <c r="E20" s="227">
        <v>2.25</v>
      </c>
      <c r="F20" s="221"/>
      <c r="G20" s="213" t="str">
        <f t="shared" si="0"/>
        <v/>
      </c>
    </row>
    <row r="21" spans="1:7" ht="15.95" customHeight="1" x14ac:dyDescent="0.2">
      <c r="A21" s="222"/>
      <c r="B21" s="223" t="s">
        <v>203</v>
      </c>
      <c r="C21" s="714" t="s">
        <v>202</v>
      </c>
      <c r="D21" s="714"/>
      <c r="E21" s="225">
        <v>52</v>
      </c>
      <c r="F21" s="221"/>
      <c r="G21" s="213" t="str">
        <f t="shared" si="0"/>
        <v/>
      </c>
    </row>
    <row r="22" spans="1:7" ht="15.95" customHeight="1" x14ac:dyDescent="0.2">
      <c r="A22" s="222"/>
      <c r="B22" s="223" t="s">
        <v>201</v>
      </c>
      <c r="C22" s="714" t="s">
        <v>202</v>
      </c>
      <c r="D22" s="714"/>
      <c r="E22" s="225">
        <v>35</v>
      </c>
      <c r="F22" s="221"/>
      <c r="G22" s="213" t="str">
        <f t="shared" si="0"/>
        <v/>
      </c>
    </row>
    <row r="23" spans="1:7" ht="15.95" customHeight="1" x14ac:dyDescent="0.2">
      <c r="A23" s="222"/>
      <c r="B23" s="223" t="s">
        <v>287</v>
      </c>
      <c r="C23" s="714" t="s">
        <v>197</v>
      </c>
      <c r="D23" s="714"/>
      <c r="E23" s="225">
        <v>1.7</v>
      </c>
      <c r="F23" s="221"/>
      <c r="G23" s="213" t="str">
        <f t="shared" si="0"/>
        <v/>
      </c>
    </row>
    <row r="24" spans="1:7" ht="15.95" customHeight="1" x14ac:dyDescent="0.2">
      <c r="A24" s="222"/>
      <c r="B24" s="223" t="s">
        <v>286</v>
      </c>
      <c r="C24" s="715" t="s">
        <v>285</v>
      </c>
      <c r="D24" s="716"/>
      <c r="E24" s="225">
        <v>2.7</v>
      </c>
      <c r="F24" s="221"/>
      <c r="G24" s="213" t="str">
        <f t="shared" si="0"/>
        <v/>
      </c>
    </row>
    <row r="25" spans="1:7" ht="15.95" customHeight="1" x14ac:dyDescent="0.2">
      <c r="A25" s="222"/>
      <c r="B25" s="223" t="s">
        <v>208</v>
      </c>
      <c r="C25" s="717" t="s">
        <v>284</v>
      </c>
      <c r="D25" s="718"/>
      <c r="E25" s="225">
        <v>65</v>
      </c>
      <c r="F25" s="221"/>
      <c r="G25" s="213" t="str">
        <f t="shared" si="0"/>
        <v/>
      </c>
    </row>
    <row r="26" spans="1:7" ht="15.95" customHeight="1" x14ac:dyDescent="0.2">
      <c r="A26" s="222"/>
      <c r="B26" s="223" t="s">
        <v>283</v>
      </c>
      <c r="C26" s="711" t="s">
        <v>172</v>
      </c>
      <c r="D26" s="711"/>
      <c r="E26" s="211"/>
      <c r="F26" s="221"/>
      <c r="G26" s="222"/>
    </row>
    <row r="27" spans="1:7" ht="15.95" customHeight="1" x14ac:dyDescent="0.2">
      <c r="A27" s="221"/>
      <c r="B27" s="223"/>
      <c r="C27" s="724" t="s">
        <v>282</v>
      </c>
      <c r="D27" s="725"/>
      <c r="E27" s="211"/>
      <c r="F27" s="221"/>
      <c r="G27" s="224">
        <f>SUM(G19:G26)</f>
        <v>0</v>
      </c>
    </row>
    <row r="28" spans="1:7" ht="15.95" customHeight="1" x14ac:dyDescent="0.2">
      <c r="A28" s="221"/>
      <c r="B28" s="223"/>
      <c r="C28" s="715" t="s">
        <v>281</v>
      </c>
      <c r="D28" s="716"/>
      <c r="E28" s="211"/>
      <c r="F28" s="221"/>
      <c r="G28" s="213">
        <f>SUM(G19:G26)*0.8</f>
        <v>0</v>
      </c>
    </row>
    <row r="29" spans="1:7" ht="15.95" customHeight="1" x14ac:dyDescent="0.2">
      <c r="A29" s="221"/>
      <c r="B29" s="223"/>
      <c r="C29" s="715"/>
      <c r="D29" s="716"/>
      <c r="E29" s="211"/>
      <c r="F29" s="221"/>
      <c r="G29" s="217"/>
    </row>
    <row r="30" spans="1:7" ht="15.95" customHeight="1" x14ac:dyDescent="0.2">
      <c r="A30" s="221"/>
      <c r="B30" s="223"/>
      <c r="C30" s="720" t="s">
        <v>216</v>
      </c>
      <c r="D30" s="720"/>
      <c r="E30" s="219"/>
      <c r="F30" s="221"/>
      <c r="G30" s="226">
        <f>SUM(G19:G26)*0.07</f>
        <v>0</v>
      </c>
    </row>
    <row r="31" spans="1:7" ht="15.95" customHeight="1" x14ac:dyDescent="0.2">
      <c r="A31" s="221"/>
      <c r="B31" s="223"/>
      <c r="C31" s="276"/>
      <c r="D31" s="277"/>
      <c r="E31" s="219"/>
      <c r="F31" s="221"/>
      <c r="G31" s="217"/>
    </row>
    <row r="32" spans="1:7" ht="15.95" customHeight="1" x14ac:dyDescent="0.2">
      <c r="A32" s="222"/>
      <c r="B32" s="223" t="s">
        <v>276</v>
      </c>
      <c r="C32" s="714" t="s">
        <v>280</v>
      </c>
      <c r="D32" s="714"/>
      <c r="E32" s="225">
        <v>76</v>
      </c>
      <c r="F32" s="221"/>
      <c r="G32" s="213" t="str">
        <f t="shared" ref="G32:G37" si="1">IF(SUM(A32)&gt;0,SUM((A32*E32)-F32),"")</f>
        <v/>
      </c>
    </row>
    <row r="33" spans="1:7" ht="15.95" customHeight="1" x14ac:dyDescent="0.2">
      <c r="A33" s="222"/>
      <c r="B33" s="223" t="s">
        <v>276</v>
      </c>
      <c r="C33" s="714" t="s">
        <v>279</v>
      </c>
      <c r="D33" s="714"/>
      <c r="E33" s="225">
        <v>76</v>
      </c>
      <c r="F33" s="221"/>
      <c r="G33" s="213" t="str">
        <f t="shared" si="1"/>
        <v/>
      </c>
    </row>
    <row r="34" spans="1:7" ht="15.95" customHeight="1" x14ac:dyDescent="0.2">
      <c r="A34" s="222"/>
      <c r="B34" s="223" t="s">
        <v>276</v>
      </c>
      <c r="C34" s="714" t="s">
        <v>278</v>
      </c>
      <c r="D34" s="714"/>
      <c r="E34" s="225">
        <v>115</v>
      </c>
      <c r="F34" s="221"/>
      <c r="G34" s="213" t="str">
        <f t="shared" si="1"/>
        <v/>
      </c>
    </row>
    <row r="35" spans="1:7" ht="15.95" customHeight="1" x14ac:dyDescent="0.2">
      <c r="A35" s="222"/>
      <c r="B35" s="223" t="s">
        <v>276</v>
      </c>
      <c r="C35" s="715" t="s">
        <v>277</v>
      </c>
      <c r="D35" s="716"/>
      <c r="E35" s="225">
        <v>115</v>
      </c>
      <c r="F35" s="221"/>
      <c r="G35" s="213" t="str">
        <f t="shared" si="1"/>
        <v/>
      </c>
    </row>
    <row r="36" spans="1:7" ht="15.95" customHeight="1" x14ac:dyDescent="0.2">
      <c r="A36" s="222"/>
      <c r="B36" s="223" t="s">
        <v>276</v>
      </c>
      <c r="C36" s="715" t="s">
        <v>275</v>
      </c>
      <c r="D36" s="716"/>
      <c r="E36" s="225">
        <v>115</v>
      </c>
      <c r="F36" s="221"/>
      <c r="G36" s="213" t="str">
        <f t="shared" si="1"/>
        <v/>
      </c>
    </row>
    <row r="37" spans="1:7" ht="15.95" customHeight="1" x14ac:dyDescent="0.2">
      <c r="A37" s="222"/>
      <c r="B37" s="223" t="s">
        <v>274</v>
      </c>
      <c r="C37" s="714" t="s">
        <v>273</v>
      </c>
      <c r="D37" s="714"/>
      <c r="E37" s="225">
        <v>7</v>
      </c>
      <c r="F37" s="221"/>
      <c r="G37" s="213" t="str">
        <f t="shared" si="1"/>
        <v/>
      </c>
    </row>
    <row r="38" spans="1:7" ht="15.95" customHeight="1" x14ac:dyDescent="0.2">
      <c r="A38" s="221"/>
      <c r="B38" s="223"/>
      <c r="C38" s="715"/>
      <c r="D38" s="716"/>
      <c r="E38" s="225"/>
      <c r="F38" s="221"/>
      <c r="G38" s="213"/>
    </row>
    <row r="39" spans="1:7" ht="15.95" customHeight="1" x14ac:dyDescent="0.2">
      <c r="A39" s="221"/>
      <c r="B39" s="223"/>
      <c r="C39" s="721" t="s">
        <v>223</v>
      </c>
      <c r="D39" s="721"/>
      <c r="E39" s="219"/>
      <c r="F39" s="221"/>
      <c r="G39" s="224">
        <f>SUM(G32:G37)</f>
        <v>0</v>
      </c>
    </row>
    <row r="40" spans="1:7" ht="15.95" customHeight="1" x14ac:dyDescent="0.2">
      <c r="A40" s="221"/>
      <c r="B40" s="223"/>
      <c r="C40" s="714" t="s">
        <v>272</v>
      </c>
      <c r="D40" s="714"/>
      <c r="E40" s="219"/>
      <c r="F40" s="221"/>
      <c r="G40" s="213">
        <f>SUM(G39,G30,G27,G28)</f>
        <v>0</v>
      </c>
    </row>
    <row r="41" spans="1:7" ht="15.95" customHeight="1" x14ac:dyDescent="0.2">
      <c r="A41" s="221"/>
      <c r="B41" s="223" t="s">
        <v>271</v>
      </c>
      <c r="C41" s="715" t="s">
        <v>270</v>
      </c>
      <c r="D41" s="716"/>
      <c r="E41" s="219" t="s">
        <v>269</v>
      </c>
      <c r="F41" s="221"/>
      <c r="G41" s="213">
        <f>SUM(A45)*5</f>
        <v>0</v>
      </c>
    </row>
    <row r="42" spans="1:7" ht="15.95" customHeight="1" x14ac:dyDescent="0.2">
      <c r="A42" s="221"/>
      <c r="B42" s="223"/>
      <c r="C42" s="715"/>
      <c r="D42" s="716"/>
      <c r="E42" s="219"/>
      <c r="F42" s="221"/>
      <c r="G42" s="213"/>
    </row>
    <row r="43" spans="1:7" ht="15.95" customHeight="1" x14ac:dyDescent="0.2">
      <c r="A43" s="222"/>
      <c r="B43" s="223" t="s">
        <v>268</v>
      </c>
      <c r="C43" s="715" t="s">
        <v>266</v>
      </c>
      <c r="D43" s="716"/>
      <c r="E43" s="211" t="s">
        <v>263</v>
      </c>
      <c r="F43" s="222"/>
      <c r="G43" s="222"/>
    </row>
    <row r="44" spans="1:7" ht="15.95" customHeight="1" x14ac:dyDescent="0.2">
      <c r="A44" s="222"/>
      <c r="B44" s="223" t="s">
        <v>267</v>
      </c>
      <c r="C44" s="715" t="s">
        <v>266</v>
      </c>
      <c r="D44" s="716"/>
      <c r="E44" s="211" t="s">
        <v>263</v>
      </c>
      <c r="F44" s="222"/>
      <c r="G44" s="222"/>
    </row>
    <row r="45" spans="1:7" ht="15.95" customHeight="1" x14ac:dyDescent="0.2">
      <c r="A45" s="222"/>
      <c r="B45" s="223" t="s">
        <v>265</v>
      </c>
      <c r="C45" s="715" t="s">
        <v>264</v>
      </c>
      <c r="D45" s="716"/>
      <c r="E45" s="211" t="s">
        <v>263</v>
      </c>
      <c r="F45" s="222"/>
      <c r="G45" s="222"/>
    </row>
    <row r="46" spans="1:7" ht="15.95" customHeight="1" x14ac:dyDescent="0.2">
      <c r="A46" s="221"/>
      <c r="B46" s="220"/>
      <c r="C46" s="285"/>
      <c r="D46" s="286"/>
      <c r="E46" s="219"/>
      <c r="F46" s="218"/>
      <c r="G46" s="217"/>
    </row>
    <row r="47" spans="1:7" ht="15.95" customHeight="1" x14ac:dyDescent="0.2">
      <c r="A47" s="221"/>
      <c r="B47" s="220"/>
      <c r="C47" s="285"/>
      <c r="D47" s="286"/>
      <c r="E47" s="219"/>
      <c r="F47" s="218"/>
      <c r="G47" s="217"/>
    </row>
    <row r="48" spans="1:7" ht="15.95" customHeight="1" x14ac:dyDescent="0.2">
      <c r="A48" s="221"/>
      <c r="B48" s="220"/>
      <c r="C48" s="722"/>
      <c r="D48" s="723"/>
      <c r="E48" s="219"/>
      <c r="F48" s="218"/>
      <c r="G48" s="217"/>
    </row>
    <row r="49" spans="1:7" ht="15.95" customHeight="1" x14ac:dyDescent="0.2">
      <c r="A49" s="216"/>
      <c r="B49" s="203"/>
      <c r="C49" s="203"/>
      <c r="D49" s="566" t="s">
        <v>177</v>
      </c>
      <c r="E49" s="566"/>
      <c r="F49" s="215">
        <v>0</v>
      </c>
      <c r="G49" s="214"/>
    </row>
    <row r="50" spans="1:7" ht="15.95" customHeight="1" x14ac:dyDescent="0.2">
      <c r="A50" s="280"/>
      <c r="B50" s="280"/>
      <c r="C50" s="280"/>
      <c r="D50" s="280"/>
      <c r="E50" s="280"/>
      <c r="F50" s="283" t="s">
        <v>178</v>
      </c>
      <c r="G50" s="213">
        <f>SUM(G39,G30,G28,G27)</f>
        <v>0</v>
      </c>
    </row>
    <row r="51" spans="1:7" ht="15.95" customHeight="1" x14ac:dyDescent="0.2">
      <c r="A51" s="280"/>
      <c r="B51" s="280"/>
      <c r="C51" s="280"/>
      <c r="D51" s="280"/>
      <c r="E51" s="280"/>
      <c r="F51" s="212" t="s">
        <v>262</v>
      </c>
      <c r="G51" s="211">
        <f>G50*0.05</f>
        <v>0</v>
      </c>
    </row>
    <row r="52" spans="1:7" ht="15.95" customHeight="1" x14ac:dyDescent="0.2">
      <c r="A52" s="280"/>
      <c r="B52" s="280"/>
      <c r="C52" s="280"/>
      <c r="D52" s="280"/>
      <c r="E52" s="280"/>
      <c r="F52" s="283" t="s">
        <v>179</v>
      </c>
      <c r="G52" s="210">
        <f>G50+G51</f>
        <v>0</v>
      </c>
    </row>
    <row r="53" spans="1:7" ht="15.95" customHeight="1" x14ac:dyDescent="0.2">
      <c r="A53" s="209"/>
      <c r="B53" s="209"/>
      <c r="C53" s="209"/>
      <c r="D53" s="280"/>
      <c r="E53" s="206"/>
      <c r="F53" s="208"/>
    </row>
    <row r="54" spans="1:7" ht="15.95" customHeight="1" x14ac:dyDescent="0.2">
      <c r="A54" s="204"/>
      <c r="B54" s="207"/>
      <c r="C54" s="203"/>
      <c r="D54" s="280"/>
      <c r="E54" s="206"/>
      <c r="F54" s="205" t="str">
        <f>IF(SUM(F52)&gt;0,SUM((F52*F53)+F52),"")</f>
        <v/>
      </c>
    </row>
    <row r="55" spans="1:7" ht="15.95" customHeight="1" x14ac:dyDescent="0.2">
      <c r="A55" s="204"/>
      <c r="B55" s="203"/>
      <c r="C55" s="203"/>
      <c r="D55" s="280"/>
      <c r="E55" s="280"/>
      <c r="F55" s="280"/>
    </row>
    <row r="56" spans="1:7" ht="15.95" customHeight="1" x14ac:dyDescent="0.2">
      <c r="B56" s="567"/>
      <c r="C56" s="706"/>
      <c r="D56" s="706"/>
      <c r="E56" s="706"/>
    </row>
    <row r="57" spans="1:7" ht="15.95" customHeight="1" x14ac:dyDescent="0.2">
      <c r="B57" s="202"/>
      <c r="C57" s="201"/>
      <c r="D57" s="201"/>
      <c r="E57" s="201"/>
    </row>
    <row r="58" spans="1:7" ht="10.5" customHeight="1" x14ac:dyDescent="0.2"/>
    <row r="59" spans="1:7" x14ac:dyDescent="0.2">
      <c r="A59" s="200"/>
      <c r="B59" s="282"/>
      <c r="C59" s="282"/>
      <c r="D59" s="282"/>
      <c r="E59" s="282"/>
      <c r="F59" s="282"/>
    </row>
  </sheetData>
  <sheetProtection selectLockedCells="1"/>
  <mergeCells count="56">
    <mergeCell ref="C38:D38"/>
    <mergeCell ref="C43:D43"/>
    <mergeCell ref="C27:D27"/>
    <mergeCell ref="C41:D41"/>
    <mergeCell ref="C35:D35"/>
    <mergeCell ref="C36:D36"/>
    <mergeCell ref="C42:D42"/>
    <mergeCell ref="C32:D32"/>
    <mergeCell ref="C33:D33"/>
    <mergeCell ref="B10:C10"/>
    <mergeCell ref="B12:C12"/>
    <mergeCell ref="B13:C13"/>
    <mergeCell ref="E10:F10"/>
    <mergeCell ref="A6:B6"/>
    <mergeCell ref="A7:B7"/>
    <mergeCell ref="B56:E56"/>
    <mergeCell ref="B11:C11"/>
    <mergeCell ref="C30:D30"/>
    <mergeCell ref="D49:E49"/>
    <mergeCell ref="C39:D39"/>
    <mergeCell ref="C40:D40"/>
    <mergeCell ref="C34:D34"/>
    <mergeCell ref="C37:D37"/>
    <mergeCell ref="C45:D45"/>
    <mergeCell ref="C48:D48"/>
    <mergeCell ref="C44:D44"/>
    <mergeCell ref="A14:F14"/>
    <mergeCell ref="E12:F12"/>
    <mergeCell ref="E13:F13"/>
    <mergeCell ref="C29:D29"/>
    <mergeCell ref="C28:D28"/>
    <mergeCell ref="A17:G17"/>
    <mergeCell ref="C26:D26"/>
    <mergeCell ref="E11:F11"/>
    <mergeCell ref="C18:D18"/>
    <mergeCell ref="C19:D19"/>
    <mergeCell ref="C24:D24"/>
    <mergeCell ref="C21:D21"/>
    <mergeCell ref="C20:D20"/>
    <mergeCell ref="C22:D22"/>
    <mergeCell ref="C23:D23"/>
    <mergeCell ref="C25:D25"/>
    <mergeCell ref="C2:F2"/>
    <mergeCell ref="A3:B3"/>
    <mergeCell ref="A2:B2"/>
    <mergeCell ref="E9:F9"/>
    <mergeCell ref="E4:F4"/>
    <mergeCell ref="E5:F5"/>
    <mergeCell ref="E6:F6"/>
    <mergeCell ref="A4:B4"/>
    <mergeCell ref="C3:F3"/>
    <mergeCell ref="A5:B5"/>
    <mergeCell ref="C7:D7"/>
    <mergeCell ref="B9:C9"/>
    <mergeCell ref="C6:D6"/>
    <mergeCell ref="A8:F8"/>
  </mergeCells>
  <hyperlinks>
    <hyperlink ref="A7" r:id="rId1" xr:uid="{B08443AC-5266-47CC-8ECE-F0AABB3B53B1}"/>
  </hyperlinks>
  <printOptions horizontalCentered="1"/>
  <pageMargins left="0.74803149606299213" right="0.74803149606299213" top="0.51181102362204722" bottom="0.51181102362204722" header="0.51181102362204722" footer="0.51181102362204722"/>
  <pageSetup scale="79" orientation="portrait" r:id="rId2"/>
  <headerFooter alignWithMargins="0"/>
  <drawing r:id="rId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793DB9-470D-41BB-8702-AFBDB45F9FBE}">
  <sheetPr codeName="Sheet15">
    <pageSetUpPr fitToPage="1"/>
  </sheetPr>
  <dimension ref="A1:G60"/>
  <sheetViews>
    <sheetView showGridLines="0" workbookViewId="0">
      <selection activeCell="O2" sqref="O2"/>
    </sheetView>
  </sheetViews>
  <sheetFormatPr defaultColWidth="9.140625" defaultRowHeight="12.75" x14ac:dyDescent="0.2"/>
  <cols>
    <col min="1" max="1" width="12.7109375" style="284" customWidth="1"/>
    <col min="2" max="2" width="14.42578125" style="284" customWidth="1"/>
    <col min="3" max="3" width="13.140625" style="284" customWidth="1"/>
    <col min="4" max="4" width="12.42578125" style="284" customWidth="1"/>
    <col min="5" max="7" width="12.7109375" style="284" customWidth="1"/>
    <col min="8" max="16384" width="9.140625" style="284"/>
  </cols>
  <sheetData>
    <row r="1" spans="1:7" ht="42.75" customHeight="1" x14ac:dyDescent="0.2"/>
    <row r="2" spans="1:7" ht="16.5" customHeight="1" x14ac:dyDescent="0.25">
      <c r="A2" s="597"/>
      <c r="B2" s="598"/>
      <c r="C2" s="599"/>
      <c r="D2" s="599"/>
      <c r="E2" s="599"/>
      <c r="F2" s="599"/>
    </row>
    <row r="3" spans="1:7" ht="16.5" customHeight="1" x14ac:dyDescent="0.2">
      <c r="A3" s="600" t="s">
        <v>106</v>
      </c>
      <c r="B3" s="600"/>
      <c r="C3" s="599"/>
      <c r="D3" s="599"/>
      <c r="E3" s="599"/>
      <c r="F3" s="599"/>
    </row>
    <row r="4" spans="1:7" s="280" customFormat="1" ht="14.1" customHeight="1" x14ac:dyDescent="0.2">
      <c r="A4" s="590" t="s">
        <v>107</v>
      </c>
      <c r="B4" s="590"/>
      <c r="C4" s="237"/>
      <c r="D4" s="279" t="s">
        <v>108</v>
      </c>
      <c r="E4" s="590"/>
      <c r="F4" s="590"/>
    </row>
    <row r="5" spans="1:7" s="280" customFormat="1" ht="14.1" customHeight="1" x14ac:dyDescent="0.2">
      <c r="A5" s="590" t="s">
        <v>110</v>
      </c>
      <c r="B5" s="590"/>
      <c r="C5" s="237"/>
      <c r="D5" s="279" t="s">
        <v>111</v>
      </c>
      <c r="E5" s="591">
        <f ca="1">TODAY()</f>
        <v>45198</v>
      </c>
      <c r="F5" s="591"/>
    </row>
    <row r="6" spans="1:7" s="280" customFormat="1" ht="14.1" customHeight="1" x14ac:dyDescent="0.2">
      <c r="A6" s="590" t="s">
        <v>112</v>
      </c>
      <c r="B6" s="590"/>
      <c r="C6" s="592" t="s">
        <v>113</v>
      </c>
      <c r="D6" s="592"/>
      <c r="E6" s="590"/>
      <c r="F6" s="590"/>
    </row>
    <row r="7" spans="1:7" s="280" customFormat="1" ht="14.1" customHeight="1" x14ac:dyDescent="0.2">
      <c r="A7" s="496" t="s">
        <v>115</v>
      </c>
      <c r="B7" s="590"/>
      <c r="C7" s="593" t="s">
        <v>116</v>
      </c>
      <c r="D7" s="593"/>
      <c r="E7" s="236">
        <f ca="1">TODAY()+30</f>
        <v>45228</v>
      </c>
      <c r="F7" s="235"/>
    </row>
    <row r="8" spans="1:7" s="280" customFormat="1" ht="14.1" customHeight="1" x14ac:dyDescent="0.2">
      <c r="A8" s="594"/>
      <c r="B8" s="594"/>
      <c r="C8" s="594"/>
      <c r="D8" s="594"/>
      <c r="E8" s="594"/>
      <c r="F8" s="594"/>
    </row>
    <row r="9" spans="1:7" s="280" customFormat="1" ht="14.1" customHeight="1" x14ac:dyDescent="0.2">
      <c r="A9" s="234" t="s">
        <v>87</v>
      </c>
      <c r="B9" s="708" t="s">
        <v>23</v>
      </c>
      <c r="C9" s="697"/>
      <c r="D9" s="233"/>
      <c r="E9" s="583"/>
      <c r="F9" s="583"/>
      <c r="G9" s="278"/>
    </row>
    <row r="10" spans="1:7" s="280" customFormat="1" ht="14.1" customHeight="1" x14ac:dyDescent="0.2">
      <c r="A10" s="232"/>
      <c r="B10" s="596"/>
      <c r="C10" s="596"/>
      <c r="D10" s="278"/>
      <c r="E10" s="583"/>
      <c r="F10" s="583"/>
      <c r="G10" s="278"/>
    </row>
    <row r="11" spans="1:7" s="280" customFormat="1" ht="14.1" customHeight="1" x14ac:dyDescent="0.2">
      <c r="A11" s="278"/>
      <c r="B11" s="589" t="s">
        <v>117</v>
      </c>
      <c r="C11" s="582"/>
      <c r="D11" s="278"/>
      <c r="E11" s="583"/>
      <c r="F11" s="583"/>
      <c r="G11" s="278"/>
    </row>
    <row r="12" spans="1:7" s="280" customFormat="1" ht="14.1" customHeight="1" x14ac:dyDescent="0.2">
      <c r="A12" s="278"/>
      <c r="B12" s="582" t="s">
        <v>314</v>
      </c>
      <c r="C12" s="582"/>
      <c r="D12" s="278"/>
      <c r="E12" s="583"/>
      <c r="F12" s="583"/>
      <c r="G12" s="278"/>
    </row>
    <row r="13" spans="1:7" s="280" customFormat="1" ht="14.1" customHeight="1" x14ac:dyDescent="0.2">
      <c r="A13" s="278"/>
      <c r="B13" s="582" t="s">
        <v>119</v>
      </c>
      <c r="C13" s="582"/>
      <c r="D13" s="278"/>
      <c r="E13" s="583"/>
      <c r="F13" s="583"/>
      <c r="G13" s="278"/>
    </row>
    <row r="14" spans="1:7" s="280" customFormat="1" ht="14.1" customHeight="1" thickBot="1" x14ac:dyDescent="0.25">
      <c r="A14" s="731" t="s">
        <v>313</v>
      </c>
      <c r="B14" s="732"/>
      <c r="C14" s="732"/>
      <c r="D14" s="732"/>
      <c r="E14" s="732"/>
      <c r="F14" s="732"/>
      <c r="G14" s="278"/>
    </row>
    <row r="15" spans="1:7" ht="22.5" x14ac:dyDescent="0.2">
      <c r="A15" s="281" t="s">
        <v>121</v>
      </c>
      <c r="B15" s="281" t="s">
        <v>122</v>
      </c>
      <c r="C15" s="231" t="s">
        <v>123</v>
      </c>
      <c r="D15" s="231" t="s">
        <v>124</v>
      </c>
      <c r="E15" s="231" t="s">
        <v>291</v>
      </c>
      <c r="F15" s="231" t="s">
        <v>126</v>
      </c>
      <c r="G15" s="281" t="s">
        <v>127</v>
      </c>
    </row>
    <row r="16" spans="1:7" ht="15.95" customHeight="1" x14ac:dyDescent="0.2">
      <c r="A16" s="230"/>
      <c r="B16" s="230"/>
      <c r="C16" s="220"/>
      <c r="D16" s="220"/>
      <c r="E16" s="229"/>
      <c r="F16" s="220" t="s">
        <v>290</v>
      </c>
      <c r="G16" s="229"/>
    </row>
    <row r="17" spans="1:7" ht="15.95" customHeight="1" thickBot="1" x14ac:dyDescent="0.25">
      <c r="A17" s="709"/>
      <c r="B17" s="709"/>
      <c r="C17" s="710"/>
      <c r="D17" s="710"/>
      <c r="E17" s="710"/>
      <c r="F17" s="710"/>
      <c r="G17" s="710"/>
    </row>
    <row r="18" spans="1:7" ht="15.95" customHeight="1" x14ac:dyDescent="0.2">
      <c r="A18" s="228" t="s">
        <v>96</v>
      </c>
      <c r="B18" s="228" t="s">
        <v>129</v>
      </c>
      <c r="C18" s="712" t="s">
        <v>130</v>
      </c>
      <c r="D18" s="713"/>
      <c r="E18" s="281" t="s">
        <v>131</v>
      </c>
      <c r="F18" s="281" t="s">
        <v>132</v>
      </c>
      <c r="G18" s="289" t="s">
        <v>133</v>
      </c>
    </row>
    <row r="19" spans="1:7" ht="15.95" customHeight="1" x14ac:dyDescent="0.2">
      <c r="A19" s="221"/>
      <c r="B19" s="220" t="s">
        <v>312</v>
      </c>
      <c r="C19" s="726" t="s">
        <v>197</v>
      </c>
      <c r="D19" s="726"/>
      <c r="E19" s="227">
        <v>5.0999999999999996</v>
      </c>
      <c r="F19" s="221"/>
      <c r="G19" s="213" t="str">
        <f>IF(SUM(A19)&gt;0,SUM((A19*E19)-F19),"")</f>
        <v/>
      </c>
    </row>
    <row r="20" spans="1:7" ht="15.95" customHeight="1" x14ac:dyDescent="0.2">
      <c r="A20" s="221"/>
      <c r="B20" s="220" t="s">
        <v>311</v>
      </c>
      <c r="C20" s="722" t="s">
        <v>310</v>
      </c>
      <c r="D20" s="723"/>
      <c r="E20" s="247" t="s">
        <v>309</v>
      </c>
      <c r="F20" s="221"/>
      <c r="G20" s="246"/>
    </row>
    <row r="21" spans="1:7" ht="15.95" customHeight="1" x14ac:dyDescent="0.2">
      <c r="A21" s="221"/>
      <c r="B21" s="220" t="s">
        <v>308</v>
      </c>
      <c r="C21" s="722" t="s">
        <v>197</v>
      </c>
      <c r="D21" s="723"/>
      <c r="E21" s="225">
        <v>3</v>
      </c>
      <c r="F21" s="221"/>
      <c r="G21" s="213" t="str">
        <f>IF(SUM(A21)&gt;0,SUM((A21*E21)-F21),"")</f>
        <v/>
      </c>
    </row>
    <row r="22" spans="1:7" ht="15.95" customHeight="1" x14ac:dyDescent="0.2">
      <c r="A22" s="221"/>
      <c r="B22" s="220" t="s">
        <v>307</v>
      </c>
      <c r="C22" s="722" t="s">
        <v>197</v>
      </c>
      <c r="D22" s="723"/>
      <c r="E22" s="225">
        <v>4.75</v>
      </c>
      <c r="F22" s="221"/>
      <c r="G22" s="213" t="str">
        <f>IF(SUM(A22)&gt;0,SUM((A22*E22)-F22),"")</f>
        <v/>
      </c>
    </row>
    <row r="23" spans="1:7" ht="15.95" customHeight="1" x14ac:dyDescent="0.2">
      <c r="A23" s="221"/>
      <c r="B23" s="220" t="s">
        <v>306</v>
      </c>
      <c r="C23" s="722"/>
      <c r="D23" s="723"/>
      <c r="E23" s="219"/>
      <c r="F23" s="221"/>
      <c r="G23" s="221"/>
    </row>
    <row r="24" spans="1:7" ht="15.95" customHeight="1" x14ac:dyDescent="0.2">
      <c r="A24" s="221"/>
      <c r="B24" s="220" t="s">
        <v>305</v>
      </c>
      <c r="C24" s="722" t="s">
        <v>162</v>
      </c>
      <c r="D24" s="723"/>
      <c r="E24" s="225">
        <v>3</v>
      </c>
      <c r="F24" s="221"/>
      <c r="G24" s="213" t="str">
        <f t="shared" ref="G24:G33" si="0">IF(SUM(A24)&gt;0,SUM((A24*E24)-F24),"")</f>
        <v/>
      </c>
    </row>
    <row r="25" spans="1:7" ht="15.95" customHeight="1" x14ac:dyDescent="0.2">
      <c r="A25" s="221"/>
      <c r="B25" s="220" t="s">
        <v>198</v>
      </c>
      <c r="C25" s="733" t="s">
        <v>199</v>
      </c>
      <c r="D25" s="734"/>
      <c r="E25" s="225">
        <v>1.5</v>
      </c>
      <c r="F25" s="221"/>
      <c r="G25" s="213" t="str">
        <f t="shared" si="0"/>
        <v/>
      </c>
    </row>
    <row r="26" spans="1:7" ht="15.95" customHeight="1" x14ac:dyDescent="0.2">
      <c r="A26" s="221"/>
      <c r="B26" s="220" t="s">
        <v>200</v>
      </c>
      <c r="C26" s="727" t="s">
        <v>199</v>
      </c>
      <c r="D26" s="727"/>
      <c r="E26" s="225">
        <v>2</v>
      </c>
      <c r="F26" s="221"/>
      <c r="G26" s="213" t="str">
        <f t="shared" si="0"/>
        <v/>
      </c>
    </row>
    <row r="27" spans="1:7" ht="15.95" customHeight="1" x14ac:dyDescent="0.2">
      <c r="A27" s="221"/>
      <c r="B27" s="220" t="s">
        <v>203</v>
      </c>
      <c r="C27" s="726" t="s">
        <v>202</v>
      </c>
      <c r="D27" s="726"/>
      <c r="E27" s="225">
        <v>55</v>
      </c>
      <c r="F27" s="221"/>
      <c r="G27" s="213" t="str">
        <f t="shared" si="0"/>
        <v/>
      </c>
    </row>
    <row r="28" spans="1:7" ht="15.95" customHeight="1" x14ac:dyDescent="0.2">
      <c r="A28" s="221"/>
      <c r="B28" s="220" t="s">
        <v>201</v>
      </c>
      <c r="C28" s="726" t="s">
        <v>202</v>
      </c>
      <c r="D28" s="726"/>
      <c r="E28" s="225">
        <v>35</v>
      </c>
      <c r="F28" s="221"/>
      <c r="G28" s="213" t="str">
        <f t="shared" si="0"/>
        <v/>
      </c>
    </row>
    <row r="29" spans="1:7" ht="15.95" customHeight="1" x14ac:dyDescent="0.2">
      <c r="A29" s="221"/>
      <c r="B29" s="220" t="s">
        <v>287</v>
      </c>
      <c r="C29" s="726" t="s">
        <v>197</v>
      </c>
      <c r="D29" s="726"/>
      <c r="E29" s="225">
        <v>2</v>
      </c>
      <c r="F29" s="221"/>
      <c r="G29" s="213" t="str">
        <f t="shared" si="0"/>
        <v/>
      </c>
    </row>
    <row r="30" spans="1:7" ht="15.95" customHeight="1" x14ac:dyDescent="0.2">
      <c r="A30" s="221"/>
      <c r="B30" s="220" t="s">
        <v>184</v>
      </c>
      <c r="C30" s="726" t="s">
        <v>304</v>
      </c>
      <c r="D30" s="726"/>
      <c r="E30" s="225">
        <v>2.75</v>
      </c>
      <c r="F30" s="221"/>
      <c r="G30" s="213" t="str">
        <f t="shared" si="0"/>
        <v/>
      </c>
    </row>
    <row r="31" spans="1:7" ht="15.95" customHeight="1" x14ac:dyDescent="0.2">
      <c r="A31" s="221"/>
      <c r="B31" s="220" t="s">
        <v>303</v>
      </c>
      <c r="C31" s="726" t="s">
        <v>206</v>
      </c>
      <c r="D31" s="726"/>
      <c r="E31" s="225">
        <v>7.15</v>
      </c>
      <c r="F31" s="221"/>
      <c r="G31" s="213" t="str">
        <f t="shared" si="0"/>
        <v/>
      </c>
    </row>
    <row r="32" spans="1:7" ht="15.95" customHeight="1" x14ac:dyDescent="0.2">
      <c r="A32" s="221"/>
      <c r="B32" s="220" t="s">
        <v>302</v>
      </c>
      <c r="C32" s="726" t="s">
        <v>206</v>
      </c>
      <c r="D32" s="726"/>
      <c r="E32" s="225">
        <v>7</v>
      </c>
      <c r="F32" s="221"/>
      <c r="G32" s="213" t="str">
        <f t="shared" si="0"/>
        <v/>
      </c>
    </row>
    <row r="33" spans="1:7" ht="15.95" customHeight="1" x14ac:dyDescent="0.2">
      <c r="A33" s="221"/>
      <c r="B33" s="220" t="s">
        <v>301</v>
      </c>
      <c r="C33" s="726" t="s">
        <v>206</v>
      </c>
      <c r="D33" s="726"/>
      <c r="E33" s="225">
        <v>6.5</v>
      </c>
      <c r="F33" s="221"/>
      <c r="G33" s="213" t="str">
        <f t="shared" si="0"/>
        <v/>
      </c>
    </row>
    <row r="34" spans="1:7" ht="15.95" customHeight="1" x14ac:dyDescent="0.2">
      <c r="A34" s="221"/>
      <c r="B34" s="220"/>
      <c r="C34" s="722" t="s">
        <v>300</v>
      </c>
      <c r="D34" s="723"/>
      <c r="E34" s="219"/>
      <c r="F34" s="221"/>
      <c r="G34" s="213">
        <f>SUM(G19:G33)</f>
        <v>0</v>
      </c>
    </row>
    <row r="35" spans="1:7" ht="15.95" customHeight="1" x14ac:dyDescent="0.2">
      <c r="A35" s="221"/>
      <c r="B35" s="220"/>
      <c r="C35" s="728" t="s">
        <v>216</v>
      </c>
      <c r="D35" s="728"/>
      <c r="E35" s="219"/>
      <c r="F35" s="221"/>
      <c r="G35" s="226">
        <f>G34*0.07</f>
        <v>0</v>
      </c>
    </row>
    <row r="36" spans="1:7" ht="15.95" customHeight="1" x14ac:dyDescent="0.2">
      <c r="A36" s="221"/>
      <c r="B36" s="220"/>
      <c r="C36" s="285"/>
      <c r="D36" s="286"/>
      <c r="E36" s="219"/>
      <c r="F36" s="221"/>
      <c r="G36" s="213"/>
    </row>
    <row r="37" spans="1:7" ht="15.95" customHeight="1" x14ac:dyDescent="0.2">
      <c r="A37" s="221"/>
      <c r="B37" s="220" t="s">
        <v>299</v>
      </c>
      <c r="C37" s="726" t="s">
        <v>218</v>
      </c>
      <c r="D37" s="726"/>
      <c r="E37" s="225">
        <v>55</v>
      </c>
      <c r="F37" s="221"/>
      <c r="G37" s="213" t="str">
        <f>IF(SUM(A37)&gt;0,SUM((A37*E37)-F37),"")</f>
        <v/>
      </c>
    </row>
    <row r="38" spans="1:7" ht="15.95" customHeight="1" x14ac:dyDescent="0.2">
      <c r="A38" s="221"/>
      <c r="B38" s="220" t="s">
        <v>298</v>
      </c>
      <c r="C38" s="726" t="s">
        <v>218</v>
      </c>
      <c r="D38" s="726"/>
      <c r="E38" s="225">
        <v>55</v>
      </c>
      <c r="F38" s="221"/>
      <c r="G38" s="213" t="str">
        <f>IF(SUM(A38)&gt;0,SUM((A38*E38)-F38),"")</f>
        <v/>
      </c>
    </row>
    <row r="39" spans="1:7" ht="15.95" customHeight="1" x14ac:dyDescent="0.2">
      <c r="A39" s="221"/>
      <c r="B39" s="220" t="s">
        <v>297</v>
      </c>
      <c r="C39" s="726" t="s">
        <v>218</v>
      </c>
      <c r="D39" s="726"/>
      <c r="E39" s="225">
        <v>55</v>
      </c>
      <c r="F39" s="221"/>
      <c r="G39" s="213" t="str">
        <f>IF(SUM(A39)&gt;0,SUM((A39*E39)-F39),"")</f>
        <v/>
      </c>
    </row>
    <row r="40" spans="1:7" ht="15.95" customHeight="1" x14ac:dyDescent="0.2">
      <c r="A40" s="221"/>
      <c r="B40" s="220" t="s">
        <v>296</v>
      </c>
      <c r="C40" s="726" t="s">
        <v>295</v>
      </c>
      <c r="D40" s="726"/>
      <c r="E40" s="225">
        <v>200</v>
      </c>
      <c r="F40" s="221"/>
      <c r="G40" s="213" t="str">
        <f>IF(SUM(A40)&gt;0,SUM((A40*E40)-F40),"")</f>
        <v/>
      </c>
    </row>
    <row r="41" spans="1:7" ht="15.95" customHeight="1" x14ac:dyDescent="0.2">
      <c r="A41" s="221"/>
      <c r="B41" s="220"/>
      <c r="C41" s="726" t="s">
        <v>223</v>
      </c>
      <c r="D41" s="726"/>
      <c r="E41" s="219"/>
      <c r="F41" s="221"/>
      <c r="G41" s="213">
        <f>SUM(G37:G40)</f>
        <v>0</v>
      </c>
    </row>
    <row r="42" spans="1:7" ht="15.95" customHeight="1" x14ac:dyDescent="0.2">
      <c r="A42" s="221"/>
      <c r="B42" s="220"/>
      <c r="C42" s="726" t="s">
        <v>224</v>
      </c>
      <c r="D42" s="726"/>
      <c r="E42" s="219"/>
      <c r="F42" s="221"/>
      <c r="G42" s="213">
        <f>G34+G41</f>
        <v>0</v>
      </c>
    </row>
    <row r="43" spans="1:7" ht="15.95" customHeight="1" x14ac:dyDescent="0.2">
      <c r="A43" s="221"/>
      <c r="B43" s="220"/>
      <c r="C43" s="285"/>
      <c r="D43" s="286"/>
      <c r="E43" s="219"/>
      <c r="F43" s="221"/>
      <c r="G43" s="213"/>
    </row>
    <row r="44" spans="1:7" ht="15.95" customHeight="1" x14ac:dyDescent="0.2">
      <c r="A44" s="221"/>
      <c r="B44" s="220"/>
      <c r="C44" s="722" t="s">
        <v>225</v>
      </c>
      <c r="D44" s="723"/>
      <c r="E44" s="225">
        <v>0.4</v>
      </c>
      <c r="F44" s="221"/>
      <c r="G44" s="213">
        <f>G42*E44</f>
        <v>0</v>
      </c>
    </row>
    <row r="45" spans="1:7" ht="15.95" customHeight="1" x14ac:dyDescent="0.2">
      <c r="A45" s="222"/>
      <c r="B45" s="230" t="s">
        <v>171</v>
      </c>
      <c r="C45" s="568" t="s">
        <v>172</v>
      </c>
      <c r="D45" s="569"/>
      <c r="E45" s="244"/>
      <c r="F45" s="222"/>
      <c r="G45" s="222"/>
    </row>
    <row r="46" spans="1:7" ht="15.95" customHeight="1" x14ac:dyDescent="0.2">
      <c r="A46" s="222"/>
      <c r="B46" s="230" t="s">
        <v>174</v>
      </c>
      <c r="C46" s="568" t="s">
        <v>294</v>
      </c>
      <c r="D46" s="569"/>
      <c r="E46" s="245"/>
      <c r="F46" s="222"/>
      <c r="G46" s="222"/>
    </row>
    <row r="47" spans="1:7" ht="15.95" customHeight="1" x14ac:dyDescent="0.2">
      <c r="A47" s="222"/>
      <c r="B47" s="230"/>
      <c r="C47" s="568"/>
      <c r="D47" s="569"/>
      <c r="E47" s="244"/>
      <c r="F47" s="222"/>
      <c r="G47" s="222"/>
    </row>
    <row r="48" spans="1:7" ht="15.95" customHeight="1" x14ac:dyDescent="0.2">
      <c r="A48" s="221"/>
      <c r="B48" s="220"/>
      <c r="C48" s="722"/>
      <c r="D48" s="723"/>
      <c r="E48" s="243"/>
      <c r="F48" s="242"/>
      <c r="G48" s="241"/>
    </row>
    <row r="49" spans="1:7" x14ac:dyDescent="0.2">
      <c r="E49" s="729" t="s">
        <v>251</v>
      </c>
      <c r="F49" s="730"/>
      <c r="G49" s="240">
        <f>SUM(G35+G42+G44+G45+G46+G47)</f>
        <v>0</v>
      </c>
    </row>
    <row r="50" spans="1:7" ht="15.95" customHeight="1" x14ac:dyDescent="0.2">
      <c r="A50" s="216"/>
      <c r="B50" s="203"/>
      <c r="C50" s="203"/>
      <c r="D50" s="566" t="s">
        <v>177</v>
      </c>
      <c r="E50" s="566"/>
      <c r="F50" s="239"/>
      <c r="G50" s="238">
        <f>SUM(G49*F50)</f>
        <v>0</v>
      </c>
    </row>
    <row r="51" spans="1:7" ht="15.95" customHeight="1" x14ac:dyDescent="0.2">
      <c r="A51" s="280"/>
      <c r="B51" s="280"/>
      <c r="C51" s="280"/>
      <c r="D51" s="280"/>
      <c r="E51" s="280"/>
      <c r="F51" s="283" t="s">
        <v>178</v>
      </c>
      <c r="G51" s="213">
        <f>(G49-G50)</f>
        <v>0</v>
      </c>
    </row>
    <row r="52" spans="1:7" ht="15.95" customHeight="1" x14ac:dyDescent="0.2">
      <c r="A52" s="280"/>
      <c r="B52" s="280"/>
      <c r="C52" s="280"/>
      <c r="D52" s="280"/>
      <c r="E52" s="280"/>
      <c r="F52" s="212" t="s">
        <v>262</v>
      </c>
      <c r="G52" s="211">
        <f>G51*0.05</f>
        <v>0</v>
      </c>
    </row>
    <row r="53" spans="1:7" ht="15.95" customHeight="1" x14ac:dyDescent="0.2">
      <c r="A53" s="280"/>
      <c r="B53" s="280"/>
      <c r="C53" s="280"/>
      <c r="D53" s="280"/>
      <c r="E53" s="280"/>
      <c r="F53" s="283" t="s">
        <v>179</v>
      </c>
      <c r="G53" s="210">
        <f>G51+G52</f>
        <v>0</v>
      </c>
    </row>
    <row r="54" spans="1:7" ht="15.95" customHeight="1" x14ac:dyDescent="0.2">
      <c r="A54" s="209"/>
      <c r="B54" s="209"/>
      <c r="C54" s="209"/>
      <c r="D54" s="280"/>
      <c r="E54" s="206"/>
      <c r="F54" s="208"/>
    </row>
    <row r="55" spans="1:7" ht="15.95" customHeight="1" x14ac:dyDescent="0.2">
      <c r="A55" s="204"/>
      <c r="B55" s="207"/>
      <c r="C55" s="203"/>
      <c r="D55" s="280"/>
      <c r="E55" s="206"/>
      <c r="F55" s="205" t="str">
        <f>IF(SUM(F53)&gt;0,SUM((F53*F54)+F53),"")</f>
        <v/>
      </c>
    </row>
    <row r="56" spans="1:7" ht="15.95" customHeight="1" x14ac:dyDescent="0.2">
      <c r="A56" s="204"/>
      <c r="B56" s="203"/>
      <c r="C56" s="203"/>
      <c r="D56" s="280"/>
      <c r="E56" s="280"/>
      <c r="F56" s="280"/>
    </row>
    <row r="57" spans="1:7" ht="15.95" customHeight="1" x14ac:dyDescent="0.2">
      <c r="B57" s="567"/>
      <c r="C57" s="706"/>
      <c r="D57" s="706"/>
      <c r="E57" s="706"/>
    </row>
    <row r="58" spans="1:7" ht="15.95" customHeight="1" x14ac:dyDescent="0.2">
      <c r="B58" s="202"/>
      <c r="C58" s="201"/>
      <c r="D58" s="201"/>
      <c r="E58" s="201"/>
    </row>
    <row r="59" spans="1:7" ht="10.5" customHeight="1" x14ac:dyDescent="0.2"/>
    <row r="60" spans="1:7" x14ac:dyDescent="0.2">
      <c r="A60" s="200"/>
      <c r="B60" s="282"/>
      <c r="C60" s="282"/>
      <c r="D60" s="282"/>
      <c r="E60" s="282"/>
      <c r="F60" s="282"/>
    </row>
  </sheetData>
  <sheetProtection selectLockedCells="1"/>
  <mergeCells count="58">
    <mergeCell ref="C19:D19"/>
    <mergeCell ref="C21:D21"/>
    <mergeCell ref="C24:D24"/>
    <mergeCell ref="C27:D27"/>
    <mergeCell ref="C22:D22"/>
    <mergeCell ref="C20:D20"/>
    <mergeCell ref="C23:D23"/>
    <mergeCell ref="C25:D25"/>
    <mergeCell ref="C18:D18"/>
    <mergeCell ref="A14:F14"/>
    <mergeCell ref="B9:C9"/>
    <mergeCell ref="C6:D6"/>
    <mergeCell ref="A8:F8"/>
    <mergeCell ref="E12:F12"/>
    <mergeCell ref="E13:F13"/>
    <mergeCell ref="B10:C10"/>
    <mergeCell ref="B12:C12"/>
    <mergeCell ref="B13:C13"/>
    <mergeCell ref="E10:F10"/>
    <mergeCell ref="B57:E57"/>
    <mergeCell ref="B11:C11"/>
    <mergeCell ref="A6:B6"/>
    <mergeCell ref="A7:B7"/>
    <mergeCell ref="A5:B5"/>
    <mergeCell ref="C7:D7"/>
    <mergeCell ref="A17:G17"/>
    <mergeCell ref="C26:D26"/>
    <mergeCell ref="E11:F11"/>
    <mergeCell ref="C35:D35"/>
    <mergeCell ref="C44:D44"/>
    <mergeCell ref="C45:D45"/>
    <mergeCell ref="C46:D46"/>
    <mergeCell ref="C47:D47"/>
    <mergeCell ref="E49:F49"/>
    <mergeCell ref="C37:D37"/>
    <mergeCell ref="A3:B3"/>
    <mergeCell ref="A2:B2"/>
    <mergeCell ref="E9:F9"/>
    <mergeCell ref="E4:F4"/>
    <mergeCell ref="E5:F5"/>
    <mergeCell ref="E6:F6"/>
    <mergeCell ref="A4:B4"/>
    <mergeCell ref="C3:F3"/>
    <mergeCell ref="C2:F2"/>
    <mergeCell ref="C38:D38"/>
    <mergeCell ref="C28:D28"/>
    <mergeCell ref="C29:D29"/>
    <mergeCell ref="D50:E50"/>
    <mergeCell ref="C41:D41"/>
    <mergeCell ref="C42:D42"/>
    <mergeCell ref="C31:D31"/>
    <mergeCell ref="C32:D32"/>
    <mergeCell ref="C39:D39"/>
    <mergeCell ref="C40:D40"/>
    <mergeCell ref="C33:D33"/>
    <mergeCell ref="C34:D34"/>
    <mergeCell ref="C48:D48"/>
    <mergeCell ref="C30:D30"/>
  </mergeCells>
  <hyperlinks>
    <hyperlink ref="A7" r:id="rId1" xr:uid="{7F92CA3A-DDFB-4D0B-B1FB-C6AF766B043D}"/>
  </hyperlinks>
  <printOptions horizontalCentered="1"/>
  <pageMargins left="0.74803149606299213" right="0.74803149606299213" top="0.51181102362204722" bottom="0.51181102362204722" header="0.51181102362204722" footer="0.51181102362204722"/>
  <pageSetup scale="79" orientation="portrait" r:id="rId2"/>
  <headerFooter alignWithMargins="0"/>
  <drawing r:id="rId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108FF7-EE01-4B15-BC9D-0DFFE2D11385}">
  <sheetPr codeName="Sheet16">
    <pageSetUpPr fitToPage="1"/>
  </sheetPr>
  <dimension ref="A1:G71"/>
  <sheetViews>
    <sheetView showGridLines="0" workbookViewId="0">
      <selection activeCell="O2" sqref="O2"/>
    </sheetView>
  </sheetViews>
  <sheetFormatPr defaultColWidth="9.140625" defaultRowHeight="12.75" x14ac:dyDescent="0.2"/>
  <cols>
    <col min="1" max="1" width="12.7109375" style="284" customWidth="1"/>
    <col min="2" max="2" width="21" style="284" customWidth="1"/>
    <col min="3" max="3" width="13.140625" style="284" customWidth="1"/>
    <col min="4" max="4" width="12.42578125" style="284" customWidth="1"/>
    <col min="5" max="7" width="12.7109375" style="284" customWidth="1"/>
    <col min="8" max="16384" width="9.140625" style="284"/>
  </cols>
  <sheetData>
    <row r="1" spans="1:7" ht="42.75" customHeight="1" x14ac:dyDescent="0.2"/>
    <row r="2" spans="1:7" ht="16.7" customHeight="1" x14ac:dyDescent="0.25">
      <c r="A2" s="597"/>
      <c r="B2" s="598"/>
      <c r="C2" s="599"/>
      <c r="D2" s="599"/>
      <c r="E2" s="599"/>
      <c r="F2" s="599"/>
    </row>
    <row r="3" spans="1:7" ht="16.7" customHeight="1" x14ac:dyDescent="0.2">
      <c r="A3" s="600" t="s">
        <v>106</v>
      </c>
      <c r="B3" s="600"/>
      <c r="C3" s="599"/>
      <c r="D3" s="599"/>
      <c r="E3" s="599"/>
      <c r="F3" s="599"/>
    </row>
    <row r="4" spans="1:7" s="280" customFormat="1" ht="14.1" customHeight="1" x14ac:dyDescent="0.2">
      <c r="A4" s="590" t="s">
        <v>107</v>
      </c>
      <c r="B4" s="590"/>
      <c r="C4" s="237"/>
      <c r="D4" s="279" t="s">
        <v>108</v>
      </c>
      <c r="E4" s="590" t="s">
        <v>109</v>
      </c>
      <c r="F4" s="590"/>
    </row>
    <row r="5" spans="1:7" s="280" customFormat="1" ht="14.1" customHeight="1" x14ac:dyDescent="0.2">
      <c r="A5" s="590" t="s">
        <v>110</v>
      </c>
      <c r="B5" s="590"/>
      <c r="C5" s="237"/>
      <c r="D5" s="279" t="s">
        <v>111</v>
      </c>
      <c r="E5" s="591">
        <f ca="1">TODAY()</f>
        <v>45198</v>
      </c>
      <c r="F5" s="591"/>
    </row>
    <row r="6" spans="1:7" s="280" customFormat="1" ht="14.1" customHeight="1" x14ac:dyDescent="0.2">
      <c r="A6" s="590" t="s">
        <v>112</v>
      </c>
      <c r="B6" s="590"/>
      <c r="C6" s="592" t="s">
        <v>113</v>
      </c>
      <c r="D6" s="592"/>
      <c r="E6" s="590" t="s">
        <v>114</v>
      </c>
      <c r="F6" s="590"/>
    </row>
    <row r="7" spans="1:7" s="280" customFormat="1" ht="14.1" customHeight="1" x14ac:dyDescent="0.2">
      <c r="A7" s="496" t="s">
        <v>115</v>
      </c>
      <c r="B7" s="590"/>
      <c r="C7" s="593" t="s">
        <v>116</v>
      </c>
      <c r="D7" s="593"/>
      <c r="E7" s="236">
        <f ca="1">TODAY()+30</f>
        <v>45228</v>
      </c>
      <c r="F7" s="235"/>
    </row>
    <row r="8" spans="1:7" s="280" customFormat="1" ht="14.1" customHeight="1" x14ac:dyDescent="0.2">
      <c r="A8" s="594"/>
      <c r="B8" s="594"/>
      <c r="C8" s="594"/>
      <c r="D8" s="594"/>
      <c r="E8" s="594"/>
      <c r="F8" s="594"/>
    </row>
    <row r="9" spans="1:7" s="280" customFormat="1" ht="14.1" customHeight="1" x14ac:dyDescent="0.2">
      <c r="A9" s="234" t="s">
        <v>87</v>
      </c>
      <c r="B9" s="737"/>
      <c r="C9" s="737"/>
      <c r="D9" s="233"/>
      <c r="E9" s="583"/>
      <c r="F9" s="583"/>
    </row>
    <row r="10" spans="1:7" s="280" customFormat="1" ht="14.1" customHeight="1" x14ac:dyDescent="0.2">
      <c r="A10" s="232"/>
      <c r="B10" s="746" t="s">
        <v>117</v>
      </c>
      <c r="C10" s="746"/>
      <c r="D10" s="278"/>
      <c r="E10" s="583"/>
      <c r="F10" s="583"/>
    </row>
    <row r="11" spans="1:7" s="280" customFormat="1" ht="14.1" customHeight="1" x14ac:dyDescent="0.2">
      <c r="A11" s="278"/>
      <c r="B11" s="582"/>
      <c r="C11" s="582"/>
      <c r="D11" s="278"/>
      <c r="E11" s="583"/>
      <c r="F11" s="583"/>
    </row>
    <row r="12" spans="1:7" s="280" customFormat="1" ht="14.1" customHeight="1" x14ac:dyDescent="0.2">
      <c r="A12" s="278"/>
      <c r="B12" s="582" t="s">
        <v>118</v>
      </c>
      <c r="C12" s="582"/>
      <c r="D12" s="278"/>
      <c r="E12" s="583"/>
      <c r="F12" s="583"/>
    </row>
    <row r="13" spans="1:7" s="280" customFormat="1" ht="14.1" customHeight="1" x14ac:dyDescent="0.2">
      <c r="A13" s="278"/>
      <c r="B13" s="582" t="s">
        <v>119</v>
      </c>
      <c r="C13" s="582"/>
      <c r="D13" s="278"/>
      <c r="E13" s="583"/>
      <c r="F13" s="583"/>
    </row>
    <row r="14" spans="1:7" s="280" customFormat="1" ht="14.1" customHeight="1" thickBot="1" x14ac:dyDescent="0.25">
      <c r="A14" s="585"/>
      <c r="B14" s="585"/>
      <c r="C14" s="585"/>
      <c r="D14" s="585"/>
      <c r="E14" s="585"/>
      <c r="F14" s="585"/>
    </row>
    <row r="15" spans="1:7" ht="22.5" x14ac:dyDescent="0.2">
      <c r="A15" s="289" t="s">
        <v>121</v>
      </c>
      <c r="B15" s="289" t="s">
        <v>122</v>
      </c>
      <c r="C15" s="275" t="s">
        <v>123</v>
      </c>
      <c r="D15" s="275" t="s">
        <v>124</v>
      </c>
      <c r="E15" s="275" t="s">
        <v>125</v>
      </c>
      <c r="F15" s="275" t="s">
        <v>126</v>
      </c>
      <c r="G15" s="289" t="s">
        <v>127</v>
      </c>
    </row>
    <row r="16" spans="1:7" ht="16.149999999999999" customHeight="1" x14ac:dyDescent="0.2">
      <c r="A16" s="230"/>
      <c r="B16" s="230"/>
      <c r="C16" s="220"/>
      <c r="D16" s="220"/>
      <c r="E16" s="229"/>
      <c r="F16" s="220" t="s">
        <v>128</v>
      </c>
      <c r="G16" s="229"/>
    </row>
    <row r="17" spans="1:7" ht="16.149999999999999" customHeight="1" thickBot="1" x14ac:dyDescent="0.25">
      <c r="A17" s="703"/>
      <c r="B17" s="703"/>
      <c r="C17" s="594"/>
      <c r="D17" s="594"/>
      <c r="E17" s="594"/>
      <c r="F17" s="594"/>
      <c r="G17" s="594"/>
    </row>
    <row r="18" spans="1:7" ht="16.149999999999999" customHeight="1" x14ac:dyDescent="0.2">
      <c r="A18" s="274" t="s">
        <v>96</v>
      </c>
      <c r="B18" s="274" t="s">
        <v>345</v>
      </c>
      <c r="C18" s="587" t="s">
        <v>130</v>
      </c>
      <c r="D18" s="588"/>
      <c r="E18" s="289" t="s">
        <v>131</v>
      </c>
      <c r="F18" s="289" t="s">
        <v>132</v>
      </c>
      <c r="G18" s="289" t="s">
        <v>133</v>
      </c>
    </row>
    <row r="19" spans="1:7" ht="16.149999999999999" customHeight="1" x14ac:dyDescent="0.2">
      <c r="A19" s="222"/>
      <c r="B19" s="254" t="s">
        <v>344</v>
      </c>
      <c r="C19" s="570" t="s">
        <v>331</v>
      </c>
      <c r="D19" s="571"/>
      <c r="E19" s="217">
        <v>115</v>
      </c>
      <c r="F19" s="258"/>
      <c r="G19" s="273" t="str">
        <f t="shared" ref="G19:G37" si="0">IF(SUM(A19)&gt;0,SUM((A19*E19)-F19),"")</f>
        <v/>
      </c>
    </row>
    <row r="20" spans="1:7" ht="16.149999999999999" customHeight="1" x14ac:dyDescent="0.2">
      <c r="A20" s="222"/>
      <c r="B20" s="254" t="s">
        <v>343</v>
      </c>
      <c r="C20" s="570" t="s">
        <v>342</v>
      </c>
      <c r="D20" s="571"/>
      <c r="E20" s="246">
        <v>170</v>
      </c>
      <c r="F20" s="258"/>
      <c r="G20" s="273" t="str">
        <f t="shared" si="0"/>
        <v/>
      </c>
    </row>
    <row r="21" spans="1:7" ht="16.149999999999999" customHeight="1" x14ac:dyDescent="0.2">
      <c r="A21" s="222"/>
      <c r="B21" s="254" t="s">
        <v>341</v>
      </c>
      <c r="C21" s="570" t="s">
        <v>331</v>
      </c>
      <c r="D21" s="571"/>
      <c r="E21" s="217">
        <v>250</v>
      </c>
      <c r="F21" s="258"/>
      <c r="G21" s="273" t="str">
        <f t="shared" si="0"/>
        <v/>
      </c>
    </row>
    <row r="22" spans="1:7" ht="16.149999999999999" customHeight="1" x14ac:dyDescent="0.2">
      <c r="A22" s="222"/>
      <c r="B22" s="254" t="s">
        <v>340</v>
      </c>
      <c r="C22" s="570" t="s">
        <v>331</v>
      </c>
      <c r="D22" s="571"/>
      <c r="E22" s="217">
        <v>450</v>
      </c>
      <c r="F22" s="258"/>
      <c r="G22" s="273" t="str">
        <f t="shared" si="0"/>
        <v/>
      </c>
    </row>
    <row r="23" spans="1:7" ht="16.149999999999999" customHeight="1" x14ac:dyDescent="0.2">
      <c r="A23" s="222"/>
      <c r="B23" s="254" t="s">
        <v>339</v>
      </c>
      <c r="C23" s="570" t="s">
        <v>331</v>
      </c>
      <c r="D23" s="571"/>
      <c r="E23" s="217">
        <v>95</v>
      </c>
      <c r="F23" s="258"/>
      <c r="G23" s="273" t="str">
        <f t="shared" si="0"/>
        <v/>
      </c>
    </row>
    <row r="24" spans="1:7" ht="16.149999999999999" customHeight="1" x14ac:dyDescent="0.2">
      <c r="A24" s="222"/>
      <c r="B24" s="254" t="s">
        <v>338</v>
      </c>
      <c r="C24" s="570" t="s">
        <v>331</v>
      </c>
      <c r="D24" s="571"/>
      <c r="E24" s="217">
        <v>125</v>
      </c>
      <c r="F24" s="258"/>
      <c r="G24" s="273" t="str">
        <f t="shared" si="0"/>
        <v/>
      </c>
    </row>
    <row r="25" spans="1:7" ht="16.149999999999999" customHeight="1" x14ac:dyDescent="0.2">
      <c r="A25" s="222"/>
      <c r="B25" s="254" t="s">
        <v>337</v>
      </c>
      <c r="C25" s="570" t="s">
        <v>331</v>
      </c>
      <c r="D25" s="571"/>
      <c r="E25" s="217">
        <v>50</v>
      </c>
      <c r="F25" s="258"/>
      <c r="G25" s="273" t="str">
        <f t="shared" si="0"/>
        <v/>
      </c>
    </row>
    <row r="26" spans="1:7" ht="16.149999999999999" customHeight="1" x14ac:dyDescent="0.2">
      <c r="A26" s="222"/>
      <c r="B26" s="254" t="s">
        <v>336</v>
      </c>
      <c r="C26" s="570" t="s">
        <v>331</v>
      </c>
      <c r="D26" s="571"/>
      <c r="E26" s="217">
        <v>125</v>
      </c>
      <c r="F26" s="258"/>
      <c r="G26" s="273" t="str">
        <f t="shared" si="0"/>
        <v/>
      </c>
    </row>
    <row r="27" spans="1:7" ht="16.149999999999999" customHeight="1" x14ac:dyDescent="0.2">
      <c r="A27" s="222"/>
      <c r="B27" s="254" t="s">
        <v>335</v>
      </c>
      <c r="C27" s="570" t="s">
        <v>331</v>
      </c>
      <c r="D27" s="571"/>
      <c r="E27" s="217">
        <v>295</v>
      </c>
      <c r="F27" s="258"/>
      <c r="G27" s="273" t="str">
        <f t="shared" si="0"/>
        <v/>
      </c>
    </row>
    <row r="28" spans="1:7" ht="16.149999999999999" customHeight="1" x14ac:dyDescent="0.2">
      <c r="A28" s="222"/>
      <c r="B28" s="254" t="s">
        <v>334</v>
      </c>
      <c r="C28" s="570" t="s">
        <v>331</v>
      </c>
      <c r="D28" s="571"/>
      <c r="E28" s="217">
        <v>350</v>
      </c>
      <c r="F28" s="258"/>
      <c r="G28" s="273" t="str">
        <f t="shared" si="0"/>
        <v/>
      </c>
    </row>
    <row r="29" spans="1:7" ht="16.149999999999999" customHeight="1" x14ac:dyDescent="0.2">
      <c r="A29" s="222"/>
      <c r="B29" s="254" t="s">
        <v>333</v>
      </c>
      <c r="C29" s="570" t="s">
        <v>331</v>
      </c>
      <c r="D29" s="571"/>
      <c r="E29" s="217">
        <v>145</v>
      </c>
      <c r="F29" s="258"/>
      <c r="G29" s="273" t="str">
        <f t="shared" si="0"/>
        <v/>
      </c>
    </row>
    <row r="30" spans="1:7" ht="16.149999999999999" customHeight="1" x14ac:dyDescent="0.2">
      <c r="A30" s="222"/>
      <c r="B30" s="254" t="s">
        <v>332</v>
      </c>
      <c r="C30" s="570" t="s">
        <v>331</v>
      </c>
      <c r="D30" s="571"/>
      <c r="E30" s="217">
        <v>95</v>
      </c>
      <c r="F30" s="258"/>
      <c r="G30" s="273" t="str">
        <f t="shared" si="0"/>
        <v/>
      </c>
    </row>
    <row r="31" spans="1:7" ht="16.149999999999999" customHeight="1" x14ac:dyDescent="0.2">
      <c r="A31" s="222"/>
      <c r="B31" s="254" t="s">
        <v>330</v>
      </c>
      <c r="C31" s="570" t="s">
        <v>323</v>
      </c>
      <c r="D31" s="571"/>
      <c r="E31" s="217">
        <v>5</v>
      </c>
      <c r="F31" s="258"/>
      <c r="G31" s="273" t="str">
        <f t="shared" si="0"/>
        <v/>
      </c>
    </row>
    <row r="32" spans="1:7" ht="16.149999999999999" customHeight="1" x14ac:dyDescent="0.2">
      <c r="A32" s="222"/>
      <c r="B32" s="254" t="s">
        <v>329</v>
      </c>
      <c r="C32" s="570" t="s">
        <v>323</v>
      </c>
      <c r="D32" s="571"/>
      <c r="E32" s="217">
        <v>5</v>
      </c>
      <c r="F32" s="258"/>
      <c r="G32" s="273" t="str">
        <f t="shared" si="0"/>
        <v/>
      </c>
    </row>
    <row r="33" spans="1:7" ht="16.149999999999999" customHeight="1" x14ac:dyDescent="0.2">
      <c r="A33" s="222"/>
      <c r="B33" s="254" t="s">
        <v>328</v>
      </c>
      <c r="C33" s="570" t="s">
        <v>323</v>
      </c>
      <c r="D33" s="571"/>
      <c r="E33" s="217">
        <v>5</v>
      </c>
      <c r="F33" s="258"/>
      <c r="G33" s="273" t="str">
        <f t="shared" si="0"/>
        <v/>
      </c>
    </row>
    <row r="34" spans="1:7" ht="16.149999999999999" customHeight="1" x14ac:dyDescent="0.2">
      <c r="A34" s="222"/>
      <c r="B34" s="254" t="s">
        <v>327</v>
      </c>
      <c r="C34" s="287"/>
      <c r="D34" s="288"/>
      <c r="E34" s="217">
        <v>8</v>
      </c>
      <c r="F34" s="258"/>
      <c r="G34" s="273" t="str">
        <f t="shared" si="0"/>
        <v/>
      </c>
    </row>
    <row r="35" spans="1:7" ht="16.149999999999999" customHeight="1" x14ac:dyDescent="0.2">
      <c r="A35" s="222"/>
      <c r="B35" s="254" t="s">
        <v>326</v>
      </c>
      <c r="C35" s="570" t="s">
        <v>323</v>
      </c>
      <c r="D35" s="571"/>
      <c r="E35" s="217">
        <v>8.5</v>
      </c>
      <c r="F35" s="258"/>
      <c r="G35" s="273" t="str">
        <f t="shared" si="0"/>
        <v/>
      </c>
    </row>
    <row r="36" spans="1:7" ht="16.149999999999999" customHeight="1" x14ac:dyDescent="0.2">
      <c r="A36" s="222"/>
      <c r="B36" s="257" t="s">
        <v>325</v>
      </c>
      <c r="C36" s="568" t="s">
        <v>184</v>
      </c>
      <c r="D36" s="569"/>
      <c r="E36" s="244"/>
      <c r="F36" s="256"/>
      <c r="G36" s="273" t="str">
        <f t="shared" si="0"/>
        <v/>
      </c>
    </row>
    <row r="37" spans="1:7" ht="16.149999999999999" customHeight="1" x14ac:dyDescent="0.2">
      <c r="A37" s="222"/>
      <c r="B37" s="257" t="s">
        <v>325</v>
      </c>
      <c r="C37" s="568"/>
      <c r="D37" s="569"/>
      <c r="E37" s="244"/>
      <c r="F37" s="256"/>
      <c r="G37" s="273" t="str">
        <f t="shared" si="0"/>
        <v/>
      </c>
    </row>
    <row r="38" spans="1:7" ht="16.149999999999999" customHeight="1" x14ac:dyDescent="0.2">
      <c r="A38" s="222"/>
      <c r="B38" s="257" t="s">
        <v>325</v>
      </c>
      <c r="C38" s="568"/>
      <c r="D38" s="569"/>
      <c r="E38" s="244"/>
      <c r="F38" s="256"/>
      <c r="G38" s="273"/>
    </row>
    <row r="39" spans="1:7" ht="16.149999999999999" customHeight="1" x14ac:dyDescent="0.2">
      <c r="A39" s="222"/>
      <c r="B39" s="230" t="s">
        <v>325</v>
      </c>
      <c r="C39" s="568"/>
      <c r="D39" s="569"/>
      <c r="E39" s="244"/>
      <c r="F39" s="256"/>
      <c r="G39" s="273"/>
    </row>
    <row r="40" spans="1:7" ht="16.149999999999999" customHeight="1" x14ac:dyDescent="0.2">
      <c r="A40" s="255"/>
      <c r="B40" s="254"/>
      <c r="C40" s="740" t="s">
        <v>215</v>
      </c>
      <c r="D40" s="741"/>
      <c r="E40" s="265"/>
      <c r="F40" s="264"/>
      <c r="G40" s="263">
        <f>SUM(G19:G39)</f>
        <v>0</v>
      </c>
    </row>
    <row r="41" spans="1:7" ht="16.149999999999999" customHeight="1" x14ac:dyDescent="0.2">
      <c r="A41" s="255"/>
      <c r="B41" s="254"/>
      <c r="C41" s="742" t="s">
        <v>216</v>
      </c>
      <c r="D41" s="743"/>
      <c r="E41" s="272"/>
      <c r="F41" s="258"/>
      <c r="G41" s="271">
        <f>(G40*0.07)</f>
        <v>0</v>
      </c>
    </row>
    <row r="42" spans="1:7" ht="16.149999999999999" customHeight="1" x14ac:dyDescent="0.2">
      <c r="A42" s="222"/>
      <c r="B42" s="254" t="s">
        <v>217</v>
      </c>
      <c r="C42" s="570" t="s">
        <v>218</v>
      </c>
      <c r="D42" s="571"/>
      <c r="E42" s="217">
        <v>55</v>
      </c>
      <c r="F42" s="258"/>
      <c r="G42" s="225" t="str">
        <f t="shared" ref="G42:G48" si="1">IF(SUM(A42)&gt;0,SUM((A42*E42)-F42),"")</f>
        <v/>
      </c>
    </row>
    <row r="43" spans="1:7" ht="16.149999999999999" customHeight="1" x14ac:dyDescent="0.2">
      <c r="A43" s="259"/>
      <c r="B43" s="270" t="s">
        <v>324</v>
      </c>
      <c r="C43" s="570" t="s">
        <v>323</v>
      </c>
      <c r="D43" s="739"/>
      <c r="E43" s="269">
        <v>1</v>
      </c>
      <c r="F43" s="268"/>
      <c r="G43" s="225" t="str">
        <f t="shared" si="1"/>
        <v/>
      </c>
    </row>
    <row r="44" spans="1:7" ht="16.149999999999999" customHeight="1" x14ac:dyDescent="0.2">
      <c r="A44" s="259"/>
      <c r="B44" s="270" t="s">
        <v>322</v>
      </c>
      <c r="C44" s="738"/>
      <c r="D44" s="739"/>
      <c r="E44" s="269">
        <v>25</v>
      </c>
      <c r="F44" s="268"/>
      <c r="G44" s="225" t="str">
        <f t="shared" si="1"/>
        <v/>
      </c>
    </row>
    <row r="45" spans="1:7" ht="16.149999999999999" customHeight="1" x14ac:dyDescent="0.2">
      <c r="A45" s="222"/>
      <c r="B45" s="254" t="s">
        <v>175</v>
      </c>
      <c r="C45" s="570"/>
      <c r="D45" s="571"/>
      <c r="E45" s="267">
        <v>55</v>
      </c>
      <c r="F45" s="258"/>
      <c r="G45" s="225" t="str">
        <f t="shared" si="1"/>
        <v/>
      </c>
    </row>
    <row r="46" spans="1:7" ht="16.149999999999999" customHeight="1" x14ac:dyDescent="0.2">
      <c r="A46" s="222"/>
      <c r="B46" s="254" t="s">
        <v>321</v>
      </c>
      <c r="C46" s="570" t="s">
        <v>319</v>
      </c>
      <c r="D46" s="571"/>
      <c r="E46" s="217">
        <v>55</v>
      </c>
      <c r="F46" s="258"/>
      <c r="G46" s="225" t="str">
        <f t="shared" si="1"/>
        <v/>
      </c>
    </row>
    <row r="47" spans="1:7" ht="16.149999999999999" customHeight="1" x14ac:dyDescent="0.2">
      <c r="A47" s="222"/>
      <c r="B47" s="254" t="s">
        <v>320</v>
      </c>
      <c r="C47" s="570" t="s">
        <v>319</v>
      </c>
      <c r="D47" s="571"/>
      <c r="E47" s="217">
        <v>55</v>
      </c>
      <c r="F47" s="258"/>
      <c r="G47" s="225" t="str">
        <f t="shared" si="1"/>
        <v/>
      </c>
    </row>
    <row r="48" spans="1:7" ht="16.149999999999999" customHeight="1" x14ac:dyDescent="0.2">
      <c r="A48" s="222"/>
      <c r="B48" s="254" t="s">
        <v>221</v>
      </c>
      <c r="C48" s="570" t="s">
        <v>218</v>
      </c>
      <c r="D48" s="571"/>
      <c r="E48" s="217">
        <v>55</v>
      </c>
      <c r="F48" s="258"/>
      <c r="G48" s="225" t="str">
        <f t="shared" si="1"/>
        <v/>
      </c>
    </row>
    <row r="49" spans="1:7" ht="16.149999999999999" customHeight="1" x14ac:dyDescent="0.2">
      <c r="A49" s="222"/>
      <c r="B49" s="254" t="s">
        <v>318</v>
      </c>
      <c r="C49" s="570" t="s">
        <v>317</v>
      </c>
      <c r="D49" s="571"/>
      <c r="E49" s="217">
        <v>55</v>
      </c>
      <c r="F49" s="258"/>
      <c r="G49" s="225">
        <f>SUM(A49*E49)</f>
        <v>0</v>
      </c>
    </row>
    <row r="50" spans="1:7" ht="16.149999999999999" customHeight="1" x14ac:dyDescent="0.2">
      <c r="A50" s="222"/>
      <c r="B50" s="257"/>
      <c r="C50" s="290"/>
      <c r="D50" s="291"/>
      <c r="E50" s="245"/>
      <c r="F50" s="256"/>
      <c r="G50" s="266"/>
    </row>
    <row r="51" spans="1:7" ht="16.149999999999999" customHeight="1" x14ac:dyDescent="0.2">
      <c r="A51" s="255"/>
      <c r="B51" s="254"/>
      <c r="C51" s="740" t="s">
        <v>223</v>
      </c>
      <c r="D51" s="741"/>
      <c r="E51" s="265"/>
      <c r="F51" s="264"/>
      <c r="G51" s="263">
        <f>SUM(G42:G49)</f>
        <v>0</v>
      </c>
    </row>
    <row r="52" spans="1:7" ht="16.149999999999999" customHeight="1" x14ac:dyDescent="0.2">
      <c r="A52" s="255"/>
      <c r="B52" s="254"/>
      <c r="C52" s="740" t="s">
        <v>224</v>
      </c>
      <c r="D52" s="741"/>
      <c r="E52" s="265"/>
      <c r="F52" s="264"/>
      <c r="G52" s="263">
        <f>(G40+G51)</f>
        <v>0</v>
      </c>
    </row>
    <row r="53" spans="1:7" ht="16.149999999999999" customHeight="1" x14ac:dyDescent="0.2">
      <c r="A53" s="255"/>
      <c r="B53" s="254"/>
      <c r="C53" s="724" t="s">
        <v>225</v>
      </c>
      <c r="D53" s="725"/>
      <c r="E53" s="224">
        <v>0.4</v>
      </c>
      <c r="F53" s="262"/>
      <c r="G53" s="261">
        <f>(G52*E53)</f>
        <v>0</v>
      </c>
    </row>
    <row r="54" spans="1:7" ht="16.149999999999999" customHeight="1" x14ac:dyDescent="0.2">
      <c r="A54" s="255"/>
      <c r="B54" s="254"/>
      <c r="C54" s="744" t="s">
        <v>226</v>
      </c>
      <c r="D54" s="745"/>
      <c r="E54" s="219"/>
      <c r="F54" s="258"/>
      <c r="G54" s="260">
        <f>(G52+G53)</f>
        <v>0</v>
      </c>
    </row>
    <row r="55" spans="1:7" ht="16.149999999999999" customHeight="1" x14ac:dyDescent="0.2">
      <c r="A55" s="259"/>
      <c r="B55" s="254" t="s">
        <v>316</v>
      </c>
      <c r="C55" s="570" t="s">
        <v>315</v>
      </c>
      <c r="D55" s="571"/>
      <c r="E55" s="219">
        <v>4</v>
      </c>
      <c r="F55" s="258"/>
      <c r="G55" s="225">
        <f>SUM(A55*E55)</f>
        <v>0</v>
      </c>
    </row>
    <row r="56" spans="1:7" ht="16.149999999999999" customHeight="1" x14ac:dyDescent="0.2">
      <c r="A56" s="222"/>
      <c r="B56" s="257" t="s">
        <v>171</v>
      </c>
      <c r="C56" s="578" t="s">
        <v>227</v>
      </c>
      <c r="D56" s="579"/>
      <c r="E56" s="244"/>
      <c r="F56" s="256"/>
      <c r="G56" s="244"/>
    </row>
    <row r="57" spans="1:7" ht="16.149999999999999" customHeight="1" x14ac:dyDescent="0.2">
      <c r="A57" s="222"/>
      <c r="B57" s="230" t="s">
        <v>228</v>
      </c>
      <c r="C57" s="568" t="s">
        <v>172</v>
      </c>
      <c r="D57" s="569"/>
      <c r="E57" s="222"/>
      <c r="F57" s="256"/>
      <c r="G57" s="244"/>
    </row>
    <row r="58" spans="1:7" ht="16.149999999999999" customHeight="1" x14ac:dyDescent="0.2">
      <c r="A58" s="222"/>
      <c r="B58" s="257" t="s">
        <v>174</v>
      </c>
      <c r="C58" s="568"/>
      <c r="D58" s="569"/>
      <c r="E58" s="244"/>
      <c r="F58" s="256"/>
      <c r="G58" s="244"/>
    </row>
    <row r="59" spans="1:7" ht="16.149999999999999" customHeight="1" x14ac:dyDescent="0.2">
      <c r="A59" s="255"/>
      <c r="B59" s="254"/>
      <c r="C59" s="735"/>
      <c r="D59" s="736"/>
      <c r="E59" s="253"/>
      <c r="F59" s="252"/>
      <c r="G59" s="251"/>
    </row>
    <row r="60" spans="1:7" x14ac:dyDescent="0.2">
      <c r="E60" s="729" t="s">
        <v>176</v>
      </c>
      <c r="F60" s="730"/>
      <c r="G60" s="250">
        <f>SUM(G41+G52+G53)+(G55+G56+G57+G58)</f>
        <v>0</v>
      </c>
    </row>
    <row r="61" spans="1:7" ht="16.149999999999999" customHeight="1" x14ac:dyDescent="0.2">
      <c r="A61" s="216"/>
      <c r="B61" s="203"/>
      <c r="C61" s="203"/>
      <c r="D61" s="566" t="s">
        <v>177</v>
      </c>
      <c r="E61" s="566"/>
      <c r="F61" s="249"/>
      <c r="G61" s="248">
        <f>SUM(G60*F61)</f>
        <v>0</v>
      </c>
    </row>
    <row r="62" spans="1:7" ht="16.149999999999999" customHeight="1" x14ac:dyDescent="0.2">
      <c r="A62" s="280"/>
      <c r="B62" s="280"/>
      <c r="C62" s="280"/>
      <c r="D62" s="280"/>
      <c r="E62" s="280"/>
      <c r="F62" s="283" t="s">
        <v>178</v>
      </c>
      <c r="G62" s="227">
        <f>(G60)-G61</f>
        <v>0</v>
      </c>
    </row>
    <row r="63" spans="1:7" ht="16.149999999999999" customHeight="1" x14ac:dyDescent="0.2">
      <c r="A63" s="280"/>
      <c r="B63" s="280"/>
      <c r="C63" s="280"/>
      <c r="D63" s="280"/>
      <c r="E63" s="280"/>
      <c r="F63" s="212" t="s">
        <v>27</v>
      </c>
      <c r="G63" s="225">
        <f>G62*0.05</f>
        <v>0</v>
      </c>
    </row>
    <row r="64" spans="1:7" ht="16.149999999999999" customHeight="1" x14ac:dyDescent="0.2">
      <c r="A64" s="280"/>
      <c r="B64" s="280"/>
      <c r="C64" s="280"/>
      <c r="D64" s="280"/>
      <c r="E64" s="280"/>
      <c r="F64" s="283" t="s">
        <v>179</v>
      </c>
      <c r="G64" s="210">
        <f>G62+G63</f>
        <v>0</v>
      </c>
    </row>
    <row r="65" spans="1:6" ht="16.149999999999999" customHeight="1" x14ac:dyDescent="0.2">
      <c r="A65" s="209"/>
      <c r="B65" s="209"/>
      <c r="C65" s="209"/>
      <c r="D65" s="280"/>
      <c r="E65" s="206"/>
      <c r="F65" s="208"/>
    </row>
    <row r="66" spans="1:6" ht="16.149999999999999" customHeight="1" x14ac:dyDescent="0.2">
      <c r="A66" s="204"/>
      <c r="B66" s="207"/>
      <c r="C66" s="203"/>
      <c r="D66" s="280"/>
      <c r="E66" s="206"/>
      <c r="F66" s="205" t="str">
        <f>IF(SUM(F64)&gt;0,SUM((F64*F65)+F64),"")</f>
        <v/>
      </c>
    </row>
    <row r="67" spans="1:6" ht="16.149999999999999" customHeight="1" x14ac:dyDescent="0.2">
      <c r="A67" s="204"/>
      <c r="B67" s="203"/>
      <c r="C67" s="203"/>
      <c r="D67" s="280"/>
      <c r="E67" s="280"/>
      <c r="F67" s="280"/>
    </row>
    <row r="68" spans="1:6" ht="16.149999999999999" customHeight="1" x14ac:dyDescent="0.2">
      <c r="B68" s="567"/>
      <c r="C68" s="706"/>
      <c r="D68" s="706"/>
      <c r="E68" s="706"/>
    </row>
    <row r="69" spans="1:6" ht="16.149999999999999" customHeight="1" x14ac:dyDescent="0.2">
      <c r="B69" s="202"/>
      <c r="C69" s="201"/>
      <c r="D69" s="201"/>
      <c r="E69" s="201"/>
    </row>
    <row r="70" spans="1:6" ht="10.5" customHeight="1" x14ac:dyDescent="0.2"/>
    <row r="71" spans="1:6" x14ac:dyDescent="0.2">
      <c r="A71" s="200"/>
      <c r="B71" s="282"/>
      <c r="C71" s="282"/>
      <c r="D71" s="282"/>
      <c r="E71" s="282"/>
      <c r="F71" s="282"/>
    </row>
  </sheetData>
  <sheetProtection sheet="1" selectLockedCells="1"/>
  <mergeCells count="69">
    <mergeCell ref="E10:F10"/>
    <mergeCell ref="C24:D24"/>
    <mergeCell ref="C26:D26"/>
    <mergeCell ref="C27:D27"/>
    <mergeCell ref="C35:D35"/>
    <mergeCell ref="B10:C10"/>
    <mergeCell ref="B12:C12"/>
    <mergeCell ref="B13:C13"/>
    <mergeCell ref="C19:D19"/>
    <mergeCell ref="C21:D21"/>
    <mergeCell ref="C23:D23"/>
    <mergeCell ref="C20:D20"/>
    <mergeCell ref="C28:D28"/>
    <mergeCell ref="C29:D29"/>
    <mergeCell ref="A17:G17"/>
    <mergeCell ref="C18:D18"/>
    <mergeCell ref="E11:F11"/>
    <mergeCell ref="E12:F12"/>
    <mergeCell ref="E13:F13"/>
    <mergeCell ref="B68:E68"/>
    <mergeCell ref="B11:C11"/>
    <mergeCell ref="C47:D47"/>
    <mergeCell ref="C48:D48"/>
    <mergeCell ref="C49:D49"/>
    <mergeCell ref="C43:D43"/>
    <mergeCell ref="C45:D45"/>
    <mergeCell ref="C41:D41"/>
    <mergeCell ref="C42:D42"/>
    <mergeCell ref="D61:E61"/>
    <mergeCell ref="C51:D51"/>
    <mergeCell ref="C52:D52"/>
    <mergeCell ref="C54:D54"/>
    <mergeCell ref="C46:D46"/>
    <mergeCell ref="A14:F14"/>
    <mergeCell ref="C22:D22"/>
    <mergeCell ref="C25:D25"/>
    <mergeCell ref="C30:D30"/>
    <mergeCell ref="C36:D36"/>
    <mergeCell ref="C37:D37"/>
    <mergeCell ref="C38:D38"/>
    <mergeCell ref="C44:D44"/>
    <mergeCell ref="C32:D32"/>
    <mergeCell ref="C33:D33"/>
    <mergeCell ref="C31:D31"/>
    <mergeCell ref="C40:D40"/>
    <mergeCell ref="C39:D39"/>
    <mergeCell ref="C2:F2"/>
    <mergeCell ref="A3:B3"/>
    <mergeCell ref="A2:B2"/>
    <mergeCell ref="E9:F9"/>
    <mergeCell ref="E4:F4"/>
    <mergeCell ref="E5:F5"/>
    <mergeCell ref="E6:F6"/>
    <mergeCell ref="A4:B4"/>
    <mergeCell ref="C3:F3"/>
    <mergeCell ref="B9:C9"/>
    <mergeCell ref="A5:B5"/>
    <mergeCell ref="C7:D7"/>
    <mergeCell ref="C6:D6"/>
    <mergeCell ref="A8:F8"/>
    <mergeCell ref="A6:B6"/>
    <mergeCell ref="A7:B7"/>
    <mergeCell ref="C53:D53"/>
    <mergeCell ref="C59:D59"/>
    <mergeCell ref="E60:F60"/>
    <mergeCell ref="C55:D55"/>
    <mergeCell ref="C57:D57"/>
    <mergeCell ref="C56:D56"/>
    <mergeCell ref="C58:D58"/>
  </mergeCells>
  <hyperlinks>
    <hyperlink ref="A7" r:id="rId1" xr:uid="{43E861A7-0507-442C-B475-02B8DE2BA0E6}"/>
  </hyperlinks>
  <printOptions horizontalCentered="1"/>
  <pageMargins left="0.74803149606299213" right="0.74803149606299213" top="0.51181102362204722" bottom="0.51181102362204722" header="0.51181102362204722" footer="0.51181102362204722"/>
  <pageSetup scale="79" orientation="portrait" r:id="rId2"/>
  <headerFooter alignWithMargins="0"/>
  <drawing r:id="rId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7DD1C0-A59B-4A05-8FA3-5EC74254A042}">
  <sheetPr codeName="Sheet17">
    <pageSetUpPr fitToPage="1"/>
  </sheetPr>
  <dimension ref="A1:G60"/>
  <sheetViews>
    <sheetView showGridLines="0" workbookViewId="0">
      <selection activeCell="O2" sqref="O2"/>
    </sheetView>
  </sheetViews>
  <sheetFormatPr defaultColWidth="9.140625" defaultRowHeight="12.75" x14ac:dyDescent="0.2"/>
  <cols>
    <col min="1" max="1" width="12.7109375" style="284" customWidth="1"/>
    <col min="2" max="2" width="21" style="284" customWidth="1"/>
    <col min="3" max="3" width="13.140625" style="284" customWidth="1"/>
    <col min="4" max="4" width="12.42578125" style="284" customWidth="1"/>
    <col min="5" max="7" width="12.7109375" style="284" customWidth="1"/>
    <col min="8" max="16384" width="9.140625" style="284"/>
  </cols>
  <sheetData>
    <row r="1" spans="1:7" ht="42.75" customHeight="1" x14ac:dyDescent="0.2"/>
    <row r="2" spans="1:7" ht="16.7" customHeight="1" x14ac:dyDescent="0.25">
      <c r="A2" s="597"/>
      <c r="B2" s="598"/>
      <c r="C2" s="599"/>
      <c r="D2" s="599"/>
      <c r="E2" s="599"/>
      <c r="F2" s="599"/>
    </row>
    <row r="3" spans="1:7" ht="16.7" customHeight="1" x14ac:dyDescent="0.2">
      <c r="A3" s="600" t="s">
        <v>106</v>
      </c>
      <c r="B3" s="600"/>
      <c r="C3" s="599"/>
      <c r="D3" s="599"/>
      <c r="E3" s="599"/>
      <c r="F3" s="599"/>
    </row>
    <row r="4" spans="1:7" s="280" customFormat="1" ht="14.1" customHeight="1" x14ac:dyDescent="0.2">
      <c r="A4" s="590" t="s">
        <v>107</v>
      </c>
      <c r="B4" s="590"/>
      <c r="C4" s="237"/>
      <c r="D4" s="279" t="s">
        <v>108</v>
      </c>
      <c r="E4" s="590" t="s">
        <v>109</v>
      </c>
      <c r="F4" s="590"/>
    </row>
    <row r="5" spans="1:7" s="280" customFormat="1" ht="14.1" customHeight="1" x14ac:dyDescent="0.2">
      <c r="A5" s="590" t="s">
        <v>110</v>
      </c>
      <c r="B5" s="590"/>
      <c r="C5" s="237"/>
      <c r="D5" s="279" t="s">
        <v>111</v>
      </c>
      <c r="E5" s="591">
        <f ca="1">TODAY()</f>
        <v>45198</v>
      </c>
      <c r="F5" s="591"/>
    </row>
    <row r="6" spans="1:7" s="280" customFormat="1" ht="14.1" customHeight="1" x14ac:dyDescent="0.2">
      <c r="A6" s="590" t="s">
        <v>112</v>
      </c>
      <c r="B6" s="590"/>
      <c r="C6" s="592" t="s">
        <v>113</v>
      </c>
      <c r="D6" s="592"/>
      <c r="E6" s="590" t="s">
        <v>114</v>
      </c>
      <c r="F6" s="590"/>
    </row>
    <row r="7" spans="1:7" s="280" customFormat="1" ht="14.1" customHeight="1" x14ac:dyDescent="0.2">
      <c r="A7" s="496" t="s">
        <v>115</v>
      </c>
      <c r="B7" s="590"/>
      <c r="C7" s="593" t="s">
        <v>116</v>
      </c>
      <c r="D7" s="593"/>
      <c r="E7" s="236">
        <f ca="1">TODAY()+30</f>
        <v>45228</v>
      </c>
      <c r="F7" s="235"/>
    </row>
    <row r="8" spans="1:7" s="280" customFormat="1" ht="14.1" customHeight="1" x14ac:dyDescent="0.2">
      <c r="A8" s="594"/>
      <c r="B8" s="594"/>
      <c r="C8" s="594"/>
      <c r="D8" s="594"/>
      <c r="E8" s="594"/>
      <c r="F8" s="594"/>
    </row>
    <row r="9" spans="1:7" s="280" customFormat="1" ht="14.1" customHeight="1" x14ac:dyDescent="0.2">
      <c r="A9" s="234" t="s">
        <v>87</v>
      </c>
      <c r="B9" s="589" t="s">
        <v>23</v>
      </c>
      <c r="C9" s="589"/>
      <c r="D9" s="233"/>
      <c r="E9" s="583"/>
      <c r="F9" s="583"/>
    </row>
    <row r="10" spans="1:7" s="280" customFormat="1" ht="14.1" customHeight="1" x14ac:dyDescent="0.2">
      <c r="A10" s="232"/>
      <c r="B10" s="596"/>
      <c r="C10" s="596"/>
      <c r="D10" s="278"/>
      <c r="E10" s="583"/>
      <c r="F10" s="583"/>
    </row>
    <row r="11" spans="1:7" s="280" customFormat="1" ht="14.1" customHeight="1" x14ac:dyDescent="0.2">
      <c r="A11" s="278"/>
      <c r="B11" s="582" t="s">
        <v>195</v>
      </c>
      <c r="C11" s="582"/>
      <c r="D11" s="278"/>
      <c r="E11" s="583"/>
      <c r="F11" s="583"/>
    </row>
    <row r="12" spans="1:7" s="280" customFormat="1" ht="14.1" customHeight="1" x14ac:dyDescent="0.2">
      <c r="A12" s="278"/>
      <c r="B12" s="582" t="s">
        <v>118</v>
      </c>
      <c r="C12" s="582"/>
      <c r="D12" s="278"/>
      <c r="E12" s="583"/>
      <c r="F12" s="583"/>
    </row>
    <row r="13" spans="1:7" s="280" customFormat="1" ht="14.1" customHeight="1" x14ac:dyDescent="0.2">
      <c r="A13" s="278"/>
      <c r="B13" s="582" t="s">
        <v>119</v>
      </c>
      <c r="C13" s="582"/>
      <c r="D13" s="278"/>
      <c r="E13" s="583"/>
      <c r="F13" s="583"/>
    </row>
    <row r="14" spans="1:7" s="280" customFormat="1" ht="14.1" customHeight="1" thickBot="1" x14ac:dyDescent="0.25">
      <c r="A14" s="585"/>
      <c r="B14" s="585"/>
      <c r="C14" s="585"/>
      <c r="D14" s="585"/>
      <c r="E14" s="585"/>
      <c r="F14" s="585"/>
    </row>
    <row r="15" spans="1:7" ht="22.5" x14ac:dyDescent="0.2">
      <c r="A15" s="289" t="s">
        <v>121</v>
      </c>
      <c r="B15" s="289" t="s">
        <v>122</v>
      </c>
      <c r="C15" s="275" t="s">
        <v>123</v>
      </c>
      <c r="D15" s="275" t="s">
        <v>124</v>
      </c>
      <c r="E15" s="275" t="s">
        <v>125</v>
      </c>
      <c r="F15" s="275" t="s">
        <v>126</v>
      </c>
      <c r="G15" s="289" t="s">
        <v>127</v>
      </c>
    </row>
    <row r="16" spans="1:7" ht="15.95" customHeight="1" x14ac:dyDescent="0.2">
      <c r="A16" s="230"/>
      <c r="B16" s="230"/>
      <c r="C16" s="220"/>
      <c r="D16" s="220"/>
      <c r="E16" s="229"/>
      <c r="F16" s="220" t="s">
        <v>128</v>
      </c>
      <c r="G16" s="229"/>
    </row>
    <row r="17" spans="1:7" ht="15.95" customHeight="1" thickBot="1" x14ac:dyDescent="0.25">
      <c r="A17" s="703"/>
      <c r="B17" s="703"/>
      <c r="C17" s="594"/>
      <c r="D17" s="594"/>
      <c r="E17" s="594"/>
      <c r="F17" s="594"/>
      <c r="G17" s="594"/>
    </row>
    <row r="18" spans="1:7" ht="15.95" customHeight="1" x14ac:dyDescent="0.2">
      <c r="A18" s="274" t="s">
        <v>96</v>
      </c>
      <c r="B18" s="274" t="s">
        <v>129</v>
      </c>
      <c r="C18" s="587" t="s">
        <v>130</v>
      </c>
      <c r="D18" s="588"/>
      <c r="E18" s="289" t="s">
        <v>131</v>
      </c>
      <c r="F18" s="289" t="s">
        <v>132</v>
      </c>
      <c r="G18" s="289" t="s">
        <v>133</v>
      </c>
    </row>
    <row r="19" spans="1:7" ht="15.95" customHeight="1" x14ac:dyDescent="0.2">
      <c r="A19" s="222"/>
      <c r="B19" s="254" t="s">
        <v>196</v>
      </c>
      <c r="C19" s="570" t="s">
        <v>363</v>
      </c>
      <c r="D19" s="571"/>
      <c r="E19" s="217">
        <v>2.5</v>
      </c>
      <c r="F19" s="258"/>
      <c r="G19" s="227" t="str">
        <f t="shared" ref="G19:G29" si="0">IF(SUM(A19)&gt;0,SUM((A19*E19)-F19),"")</f>
        <v/>
      </c>
    </row>
    <row r="20" spans="1:7" ht="15.95" customHeight="1" x14ac:dyDescent="0.2">
      <c r="A20" s="222"/>
      <c r="B20" s="254" t="s">
        <v>196</v>
      </c>
      <c r="C20" s="570" t="s">
        <v>362</v>
      </c>
      <c r="D20" s="571"/>
      <c r="E20" s="222">
        <v>4.5</v>
      </c>
      <c r="F20" s="258"/>
      <c r="G20" s="227" t="str">
        <f t="shared" si="0"/>
        <v/>
      </c>
    </row>
    <row r="21" spans="1:7" ht="15.95" customHeight="1" x14ac:dyDescent="0.2">
      <c r="A21" s="222"/>
      <c r="B21" s="254" t="s">
        <v>198</v>
      </c>
      <c r="C21" s="570" t="s">
        <v>199</v>
      </c>
      <c r="D21" s="571"/>
      <c r="E21" s="217">
        <v>1.65</v>
      </c>
      <c r="F21" s="258"/>
      <c r="G21" s="227" t="str">
        <f t="shared" si="0"/>
        <v/>
      </c>
    </row>
    <row r="22" spans="1:7" ht="15.95" customHeight="1" x14ac:dyDescent="0.2">
      <c r="A22" s="222"/>
      <c r="B22" s="254" t="s">
        <v>200</v>
      </c>
      <c r="C22" s="570" t="s">
        <v>199</v>
      </c>
      <c r="D22" s="571"/>
      <c r="E22" s="217">
        <v>2.25</v>
      </c>
      <c r="F22" s="258"/>
      <c r="G22" s="225" t="str">
        <f t="shared" si="0"/>
        <v/>
      </c>
    </row>
    <row r="23" spans="1:7" ht="15.95" customHeight="1" x14ac:dyDescent="0.2">
      <c r="A23" s="222"/>
      <c r="B23" s="254" t="s">
        <v>201</v>
      </c>
      <c r="C23" s="570" t="s">
        <v>202</v>
      </c>
      <c r="D23" s="571"/>
      <c r="E23" s="217">
        <v>48</v>
      </c>
      <c r="F23" s="258"/>
      <c r="G23" s="225" t="str">
        <f t="shared" si="0"/>
        <v/>
      </c>
    </row>
    <row r="24" spans="1:7" ht="15.95" customHeight="1" x14ac:dyDescent="0.2">
      <c r="A24" s="222"/>
      <c r="B24" s="254" t="s">
        <v>203</v>
      </c>
      <c r="C24" s="570" t="s">
        <v>202</v>
      </c>
      <c r="D24" s="571"/>
      <c r="E24" s="217">
        <v>64</v>
      </c>
      <c r="F24" s="258"/>
      <c r="G24" s="225" t="str">
        <f t="shared" si="0"/>
        <v/>
      </c>
    </row>
    <row r="25" spans="1:7" ht="15.95" customHeight="1" x14ac:dyDescent="0.2">
      <c r="A25" s="222"/>
      <c r="B25" s="254" t="s">
        <v>204</v>
      </c>
      <c r="C25" s="570" t="s">
        <v>162</v>
      </c>
      <c r="D25" s="571"/>
      <c r="E25" s="217">
        <v>5.5</v>
      </c>
      <c r="F25" s="258"/>
      <c r="G25" s="225" t="str">
        <f t="shared" si="0"/>
        <v/>
      </c>
    </row>
    <row r="26" spans="1:7" ht="15.95" customHeight="1" x14ac:dyDescent="0.2">
      <c r="A26" s="222"/>
      <c r="B26" s="254" t="s">
        <v>205</v>
      </c>
      <c r="C26" s="570" t="s">
        <v>206</v>
      </c>
      <c r="D26" s="571"/>
      <c r="E26" s="217">
        <v>4.5</v>
      </c>
      <c r="F26" s="258"/>
      <c r="G26" s="225" t="str">
        <f t="shared" si="0"/>
        <v/>
      </c>
    </row>
    <row r="27" spans="1:7" ht="15.95" customHeight="1" x14ac:dyDescent="0.2">
      <c r="A27" s="222"/>
      <c r="B27" s="254" t="s">
        <v>207</v>
      </c>
      <c r="C27" s="570" t="s">
        <v>206</v>
      </c>
      <c r="D27" s="571"/>
      <c r="E27" s="217">
        <v>7</v>
      </c>
      <c r="F27" s="258"/>
      <c r="G27" s="225" t="str">
        <f t="shared" si="0"/>
        <v/>
      </c>
    </row>
    <row r="28" spans="1:7" ht="15.95" customHeight="1" x14ac:dyDescent="0.2">
      <c r="A28" s="222"/>
      <c r="B28" s="254" t="s">
        <v>208</v>
      </c>
      <c r="C28" s="570" t="s">
        <v>209</v>
      </c>
      <c r="D28" s="571"/>
      <c r="E28" s="217">
        <v>50</v>
      </c>
      <c r="F28" s="258"/>
      <c r="G28" s="225" t="str">
        <f t="shared" si="0"/>
        <v/>
      </c>
    </row>
    <row r="29" spans="1:7" ht="15.95" customHeight="1" x14ac:dyDescent="0.2">
      <c r="A29" s="222"/>
      <c r="B29" s="254" t="s">
        <v>210</v>
      </c>
      <c r="C29" s="570" t="s">
        <v>206</v>
      </c>
      <c r="D29" s="571"/>
      <c r="E29" s="217">
        <v>6</v>
      </c>
      <c r="F29" s="258"/>
      <c r="G29" s="225" t="str">
        <f t="shared" si="0"/>
        <v/>
      </c>
    </row>
    <row r="30" spans="1:7" ht="15.95" customHeight="1" x14ac:dyDescent="0.2">
      <c r="A30" s="222"/>
      <c r="B30" s="257" t="s">
        <v>211</v>
      </c>
      <c r="C30" s="568" t="s">
        <v>212</v>
      </c>
      <c r="D30" s="569"/>
      <c r="E30" s="244" t="s">
        <v>213</v>
      </c>
      <c r="F30" s="256"/>
      <c r="G30" s="244"/>
    </row>
    <row r="31" spans="1:7" ht="15.95" customHeight="1" x14ac:dyDescent="0.2">
      <c r="A31" s="222"/>
      <c r="B31" s="230" t="s">
        <v>214</v>
      </c>
      <c r="C31" s="568"/>
      <c r="D31" s="569"/>
      <c r="E31" s="244" t="s">
        <v>213</v>
      </c>
      <c r="F31" s="256"/>
      <c r="G31" s="244"/>
    </row>
    <row r="32" spans="1:7" ht="15.95" customHeight="1" x14ac:dyDescent="0.2">
      <c r="A32" s="221"/>
      <c r="B32" s="254"/>
      <c r="C32" s="570" t="s">
        <v>215</v>
      </c>
      <c r="D32" s="571"/>
      <c r="E32" s="219"/>
      <c r="F32" s="258"/>
      <c r="G32" s="225">
        <f>SUM(G19:G31)</f>
        <v>0</v>
      </c>
    </row>
    <row r="33" spans="1:7" ht="15.95" customHeight="1" x14ac:dyDescent="0.2">
      <c r="A33" s="221"/>
      <c r="B33" s="254"/>
      <c r="C33" s="742" t="s">
        <v>216</v>
      </c>
      <c r="D33" s="743"/>
      <c r="E33" s="219"/>
      <c r="F33" s="258"/>
      <c r="G33" s="271">
        <f>G32*0.07</f>
        <v>0</v>
      </c>
    </row>
    <row r="34" spans="1:7" ht="15.95" customHeight="1" x14ac:dyDescent="0.2">
      <c r="A34" s="221"/>
      <c r="B34" s="254"/>
      <c r="C34" s="747"/>
      <c r="D34" s="748"/>
      <c r="E34" s="219"/>
      <c r="F34" s="258"/>
      <c r="G34" s="225"/>
    </row>
    <row r="35" spans="1:7" ht="15.95" customHeight="1" x14ac:dyDescent="0.2">
      <c r="A35" s="222"/>
      <c r="B35" s="254" t="s">
        <v>217</v>
      </c>
      <c r="C35" s="570" t="s">
        <v>218</v>
      </c>
      <c r="D35" s="571"/>
      <c r="E35" s="217">
        <v>56</v>
      </c>
      <c r="F35" s="258"/>
      <c r="G35" s="225" t="str">
        <f>IF(SUM(A35)&gt;0,SUM((A35*E35)-F35),"")</f>
        <v/>
      </c>
    </row>
    <row r="36" spans="1:7" ht="15.95" customHeight="1" x14ac:dyDescent="0.2">
      <c r="A36" s="222"/>
      <c r="B36" s="254" t="s">
        <v>219</v>
      </c>
      <c r="C36" s="570" t="s">
        <v>218</v>
      </c>
      <c r="D36" s="571"/>
      <c r="E36" s="217">
        <v>56</v>
      </c>
      <c r="F36" s="258"/>
      <c r="G36" s="225" t="str">
        <f>IF(SUM(A36)&gt;0,SUM((A36*E36)-F36),"")</f>
        <v/>
      </c>
    </row>
    <row r="37" spans="1:7" ht="15.95" customHeight="1" x14ac:dyDescent="0.2">
      <c r="A37" s="222"/>
      <c r="B37" s="254" t="s">
        <v>220</v>
      </c>
      <c r="C37" s="570" t="s">
        <v>218</v>
      </c>
      <c r="D37" s="571"/>
      <c r="E37" s="217">
        <v>56</v>
      </c>
      <c r="F37" s="258"/>
      <c r="G37" s="225" t="str">
        <f>IF(SUM(A37)&gt;0,SUM((A37*E37)-F37),"")</f>
        <v/>
      </c>
    </row>
    <row r="38" spans="1:7" ht="15.95" customHeight="1" x14ac:dyDescent="0.2">
      <c r="A38" s="222"/>
      <c r="B38" s="254" t="s">
        <v>221</v>
      </c>
      <c r="C38" s="570" t="s">
        <v>218</v>
      </c>
      <c r="D38" s="571"/>
      <c r="E38" s="217">
        <v>66</v>
      </c>
      <c r="F38" s="258"/>
      <c r="G38" s="225" t="str">
        <f>IF(SUM(A38)&gt;0,SUM((A38*E38)-F38),"")</f>
        <v/>
      </c>
    </row>
    <row r="39" spans="1:7" ht="15.95" customHeight="1" x14ac:dyDescent="0.2">
      <c r="A39" s="222"/>
      <c r="B39" s="254" t="s">
        <v>222</v>
      </c>
      <c r="C39" s="570">
        <v>120</v>
      </c>
      <c r="D39" s="571"/>
      <c r="E39" s="217">
        <v>11</v>
      </c>
      <c r="F39" s="258"/>
      <c r="G39" s="225">
        <f>SUM(A39*E39+120)</f>
        <v>120</v>
      </c>
    </row>
    <row r="40" spans="1:7" ht="15.95" customHeight="1" x14ac:dyDescent="0.2">
      <c r="A40" s="221"/>
      <c r="B40" s="254"/>
      <c r="C40" s="570" t="s">
        <v>223</v>
      </c>
      <c r="D40" s="571"/>
      <c r="E40" s="219"/>
      <c r="F40" s="258"/>
      <c r="G40" s="225">
        <f>SUM(G35:G39)</f>
        <v>120</v>
      </c>
    </row>
    <row r="41" spans="1:7" ht="15.95" customHeight="1" x14ac:dyDescent="0.2">
      <c r="A41" s="221"/>
      <c r="B41" s="254"/>
      <c r="C41" s="570" t="s">
        <v>224</v>
      </c>
      <c r="D41" s="571"/>
      <c r="E41" s="219"/>
      <c r="F41" s="258"/>
      <c r="G41" s="225">
        <f>G32+G40</f>
        <v>120</v>
      </c>
    </row>
    <row r="42" spans="1:7" ht="15.95" customHeight="1" x14ac:dyDescent="0.2">
      <c r="A42" s="221"/>
      <c r="B42" s="254"/>
      <c r="C42" s="570" t="s">
        <v>225</v>
      </c>
      <c r="D42" s="571"/>
      <c r="E42" s="217">
        <v>0.4</v>
      </c>
      <c r="F42" s="258"/>
      <c r="G42" s="225">
        <f>G41*E42</f>
        <v>48</v>
      </c>
    </row>
    <row r="43" spans="1:7" ht="15.95" customHeight="1" x14ac:dyDescent="0.2">
      <c r="A43" s="221"/>
      <c r="B43" s="254"/>
      <c r="C43" s="744" t="s">
        <v>226</v>
      </c>
      <c r="D43" s="745"/>
      <c r="E43" s="219"/>
      <c r="F43" s="258"/>
      <c r="G43" s="260">
        <f>G41+G42</f>
        <v>168</v>
      </c>
    </row>
    <row r="44" spans="1:7" ht="15.95" customHeight="1" x14ac:dyDescent="0.2">
      <c r="A44" s="221"/>
      <c r="B44" s="254"/>
      <c r="C44" s="334"/>
      <c r="D44" s="333"/>
      <c r="E44" s="219"/>
      <c r="F44" s="258"/>
      <c r="G44" s="225"/>
    </row>
    <row r="45" spans="1:7" ht="15.95" customHeight="1" x14ac:dyDescent="0.2">
      <c r="A45" s="222"/>
      <c r="B45" s="257" t="s">
        <v>171</v>
      </c>
      <c r="C45" s="578" t="s">
        <v>227</v>
      </c>
      <c r="D45" s="579"/>
      <c r="E45" s="244"/>
      <c r="F45" s="256"/>
      <c r="G45" s="244"/>
    </row>
    <row r="46" spans="1:7" ht="15.95" customHeight="1" x14ac:dyDescent="0.2">
      <c r="A46" s="222"/>
      <c r="B46" s="230" t="s">
        <v>228</v>
      </c>
      <c r="C46" s="568" t="s">
        <v>172</v>
      </c>
      <c r="D46" s="569"/>
      <c r="E46" s="222"/>
      <c r="F46" s="256"/>
      <c r="G46" s="244"/>
    </row>
    <row r="47" spans="1:7" ht="15.95" customHeight="1" x14ac:dyDescent="0.2">
      <c r="A47" s="222"/>
      <c r="B47" s="257" t="s">
        <v>174</v>
      </c>
      <c r="C47" s="568"/>
      <c r="D47" s="569"/>
      <c r="E47" s="244"/>
      <c r="F47" s="256"/>
      <c r="G47" s="244"/>
    </row>
    <row r="48" spans="1:7" ht="15.95" customHeight="1" x14ac:dyDescent="0.2">
      <c r="A48" s="221"/>
      <c r="B48" s="254"/>
      <c r="C48" s="722"/>
      <c r="D48" s="723"/>
      <c r="E48" s="243"/>
      <c r="F48" s="252"/>
      <c r="G48" s="251"/>
    </row>
    <row r="49" spans="1:7" x14ac:dyDescent="0.2">
      <c r="E49" s="729" t="s">
        <v>176</v>
      </c>
      <c r="F49" s="730"/>
      <c r="G49" s="332">
        <f>(G33+G43+G45+G46+G47)</f>
        <v>168</v>
      </c>
    </row>
    <row r="50" spans="1:7" ht="15.95" customHeight="1" x14ac:dyDescent="0.2">
      <c r="A50" s="216"/>
      <c r="B50" s="203"/>
      <c r="C50" s="203"/>
      <c r="D50" s="566" t="s">
        <v>177</v>
      </c>
      <c r="E50" s="566"/>
      <c r="F50" s="249"/>
      <c r="G50" s="248">
        <f>SUM(G49*F50)</f>
        <v>0</v>
      </c>
    </row>
    <row r="51" spans="1:7" ht="15.95" customHeight="1" x14ac:dyDescent="0.2">
      <c r="A51" s="280"/>
      <c r="B51" s="280"/>
      <c r="C51" s="280"/>
      <c r="D51" s="280"/>
      <c r="E51" s="280"/>
      <c r="F51" s="283" t="s">
        <v>178</v>
      </c>
      <c r="G51" s="227">
        <f>(G33+G43+G45+G46+G47)-G50</f>
        <v>168</v>
      </c>
    </row>
    <row r="52" spans="1:7" ht="15.95" customHeight="1" x14ac:dyDescent="0.2">
      <c r="A52" s="280"/>
      <c r="B52" s="280"/>
      <c r="C52" s="280"/>
      <c r="D52" s="280"/>
      <c r="E52" s="280"/>
      <c r="F52" s="212" t="s">
        <v>27</v>
      </c>
      <c r="G52" s="225">
        <f>G51*0.05</f>
        <v>8.4</v>
      </c>
    </row>
    <row r="53" spans="1:7" ht="15.95" customHeight="1" x14ac:dyDescent="0.2">
      <c r="A53" s="280"/>
      <c r="B53" s="280"/>
      <c r="C53" s="280"/>
      <c r="D53" s="280"/>
      <c r="E53" s="280"/>
      <c r="F53" s="283" t="s">
        <v>179</v>
      </c>
      <c r="G53" s="210">
        <f>G51+G52</f>
        <v>176.4</v>
      </c>
    </row>
    <row r="54" spans="1:7" ht="15.95" customHeight="1" x14ac:dyDescent="0.2">
      <c r="A54" s="209"/>
      <c r="B54" s="209"/>
      <c r="C54" s="209"/>
      <c r="D54" s="280"/>
      <c r="E54" s="206"/>
      <c r="F54" s="208"/>
    </row>
    <row r="55" spans="1:7" ht="15.95" customHeight="1" x14ac:dyDescent="0.2">
      <c r="A55" s="204"/>
      <c r="B55" s="207"/>
      <c r="C55" s="203"/>
      <c r="D55" s="280"/>
      <c r="E55" s="206"/>
      <c r="F55" s="205" t="str">
        <f>IF(SUM(F53)&gt;0,SUM((F53*F54)+F53),"")</f>
        <v/>
      </c>
    </row>
    <row r="56" spans="1:7" ht="15.95" customHeight="1" x14ac:dyDescent="0.2">
      <c r="A56" s="204"/>
      <c r="B56" s="203"/>
      <c r="C56" s="203"/>
      <c r="D56" s="280"/>
      <c r="E56" s="280"/>
      <c r="F56" s="280"/>
    </row>
    <row r="57" spans="1:7" ht="15.95" customHeight="1" x14ac:dyDescent="0.2">
      <c r="B57" s="567"/>
      <c r="C57" s="706"/>
      <c r="D57" s="706"/>
      <c r="E57" s="706"/>
    </row>
    <row r="58" spans="1:7" ht="15.95" customHeight="1" x14ac:dyDescent="0.2">
      <c r="B58" s="202"/>
      <c r="C58" s="201"/>
      <c r="D58" s="201"/>
      <c r="E58" s="201"/>
    </row>
    <row r="59" spans="1:7" ht="10.5" customHeight="1" x14ac:dyDescent="0.2"/>
    <row r="60" spans="1:7" x14ac:dyDescent="0.2">
      <c r="A60" s="200"/>
      <c r="B60" s="282"/>
      <c r="C60" s="282"/>
      <c r="D60" s="282"/>
      <c r="E60" s="282"/>
      <c r="F60" s="282"/>
    </row>
  </sheetData>
  <sheetProtection sheet="1" selectLockedCells="1"/>
  <mergeCells count="59">
    <mergeCell ref="B10:C10"/>
    <mergeCell ref="B12:C12"/>
    <mergeCell ref="B13:C13"/>
    <mergeCell ref="E10:F10"/>
    <mergeCell ref="A5:B5"/>
    <mergeCell ref="C7:D7"/>
    <mergeCell ref="C6:D6"/>
    <mergeCell ref="A8:F8"/>
    <mergeCell ref="A17:G17"/>
    <mergeCell ref="E11:F11"/>
    <mergeCell ref="C33:D33"/>
    <mergeCell ref="C35:D35"/>
    <mergeCell ref="C23:D23"/>
    <mergeCell ref="C24:D24"/>
    <mergeCell ref="C25:D25"/>
    <mergeCell ref="C18:D18"/>
    <mergeCell ref="C22:D22"/>
    <mergeCell ref="B57:E57"/>
    <mergeCell ref="B11:C11"/>
    <mergeCell ref="A6:B6"/>
    <mergeCell ref="A7:B7"/>
    <mergeCell ref="C36:D36"/>
    <mergeCell ref="A14:F14"/>
    <mergeCell ref="E12:F12"/>
    <mergeCell ref="E13:F13"/>
    <mergeCell ref="C29:D29"/>
    <mergeCell ref="C32:D32"/>
    <mergeCell ref="C28:D28"/>
    <mergeCell ref="C37:D37"/>
    <mergeCell ref="C43:D43"/>
    <mergeCell ref="C20:D20"/>
    <mergeCell ref="C19:D19"/>
    <mergeCell ref="C21:D21"/>
    <mergeCell ref="C2:F2"/>
    <mergeCell ref="A3:B3"/>
    <mergeCell ref="A2:B2"/>
    <mergeCell ref="E9:F9"/>
    <mergeCell ref="E4:F4"/>
    <mergeCell ref="E5:F5"/>
    <mergeCell ref="E6:F6"/>
    <mergeCell ref="A4:B4"/>
    <mergeCell ref="C3:F3"/>
    <mergeCell ref="B9:C9"/>
    <mergeCell ref="D50:E50"/>
    <mergeCell ref="C40:D40"/>
    <mergeCell ref="C41:D41"/>
    <mergeCell ref="C26:D26"/>
    <mergeCell ref="C27:D27"/>
    <mergeCell ref="C38:D38"/>
    <mergeCell ref="C39:D39"/>
    <mergeCell ref="C30:D30"/>
    <mergeCell ref="C42:D42"/>
    <mergeCell ref="C48:D48"/>
    <mergeCell ref="E49:F49"/>
    <mergeCell ref="C46:D46"/>
    <mergeCell ref="C45:D45"/>
    <mergeCell ref="C47:D47"/>
    <mergeCell ref="C34:D34"/>
    <mergeCell ref="C31:D31"/>
  </mergeCells>
  <hyperlinks>
    <hyperlink ref="A7" r:id="rId1" xr:uid="{D9F750BF-982E-4501-9230-A6295C4DA6F1}"/>
  </hyperlinks>
  <printOptions horizontalCentered="1"/>
  <pageMargins left="0.74803149606299213" right="0.74803149606299213" top="0.51181102362204722" bottom="0.51181102362204722" header="0.51181102362204722" footer="0.51181102362204722"/>
  <pageSetup scale="79" orientation="portrait" r:id="rId2"/>
  <headerFooter alignWithMargins="0"/>
  <drawing r:id="rId3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7781A8-418C-4439-8A9C-C095704CD3CA}">
  <sheetPr codeName="Sheet32"/>
  <dimension ref="A1:N11"/>
  <sheetViews>
    <sheetView workbookViewId="0">
      <selection activeCell="L3" sqref="L3"/>
    </sheetView>
  </sheetViews>
  <sheetFormatPr defaultRowHeight="15" x14ac:dyDescent="0.25"/>
  <cols>
    <col min="1" max="1" width="30.42578125" bestFit="1" customWidth="1"/>
    <col min="2" max="2" width="4.42578125" bestFit="1" customWidth="1"/>
    <col min="3" max="3" width="4.5703125" bestFit="1" customWidth="1"/>
    <col min="4" max="4" width="10.7109375" bestFit="1" customWidth="1"/>
    <col min="5" max="5" width="17.85546875" bestFit="1" customWidth="1"/>
    <col min="6" max="6" width="10.85546875" bestFit="1" customWidth="1"/>
  </cols>
  <sheetData>
    <row r="1" spans="1:14" ht="15.75" x14ac:dyDescent="0.25">
      <c r="A1" s="488" t="s">
        <v>438</v>
      </c>
      <c r="B1" s="488"/>
      <c r="C1" s="488"/>
      <c r="D1" s="488"/>
      <c r="E1" s="488"/>
      <c r="F1" s="488"/>
      <c r="K1" t="s">
        <v>465</v>
      </c>
      <c r="L1" t="s">
        <v>466</v>
      </c>
      <c r="M1" t="s">
        <v>467</v>
      </c>
      <c r="N1" t="s">
        <v>468</v>
      </c>
    </row>
    <row r="2" spans="1:14" x14ac:dyDescent="0.25">
      <c r="A2" t="s">
        <v>23</v>
      </c>
      <c r="K2" t="s">
        <v>415</v>
      </c>
      <c r="L2" s="21">
        <v>2</v>
      </c>
      <c r="M2">
        <v>2</v>
      </c>
      <c r="N2" s="21">
        <v>4</v>
      </c>
    </row>
    <row r="5" spans="1:14" x14ac:dyDescent="0.25">
      <c r="A5" t="s">
        <v>414</v>
      </c>
      <c r="B5" t="s">
        <v>96</v>
      </c>
      <c r="C5" t="s">
        <v>424</v>
      </c>
      <c r="D5" t="s">
        <v>131</v>
      </c>
      <c r="E5" t="s">
        <v>183</v>
      </c>
      <c r="F5" t="s">
        <v>133</v>
      </c>
    </row>
    <row r="6" spans="1:14" x14ac:dyDescent="0.25">
      <c r="A6" t="s">
        <v>415</v>
      </c>
      <c r="B6">
        <v>1</v>
      </c>
      <c r="C6" t="s">
        <v>135</v>
      </c>
      <c r="D6" s="749">
        <v>10</v>
      </c>
      <c r="E6" t="s">
        <v>469</v>
      </c>
      <c r="F6" s="749">
        <v>10</v>
      </c>
    </row>
    <row r="7" spans="1:14" x14ac:dyDescent="0.25">
      <c r="A7" t="s">
        <v>415</v>
      </c>
      <c r="B7">
        <v>1</v>
      </c>
      <c r="C7" t="s">
        <v>136</v>
      </c>
      <c r="D7">
        <v>13</v>
      </c>
      <c r="E7" t="s">
        <v>469</v>
      </c>
      <c r="F7">
        <v>13</v>
      </c>
      <c r="K7" t="s">
        <v>465</v>
      </c>
      <c r="L7" t="s">
        <v>466</v>
      </c>
      <c r="M7" t="s">
        <v>467</v>
      </c>
      <c r="N7" t="s">
        <v>468</v>
      </c>
    </row>
    <row r="8" spans="1:14" x14ac:dyDescent="0.25">
      <c r="A8" t="s">
        <v>416</v>
      </c>
      <c r="B8">
        <v>2</v>
      </c>
      <c r="C8" t="s">
        <v>135</v>
      </c>
      <c r="D8">
        <v>15</v>
      </c>
      <c r="E8" t="s">
        <v>469</v>
      </c>
      <c r="F8">
        <v>30</v>
      </c>
      <c r="K8" t="s">
        <v>415</v>
      </c>
      <c r="L8" s="21">
        <v>2</v>
      </c>
      <c r="M8">
        <v>23</v>
      </c>
      <c r="N8" s="21">
        <v>46</v>
      </c>
    </row>
    <row r="9" spans="1:14" x14ac:dyDescent="0.25">
      <c r="A9" t="s">
        <v>415</v>
      </c>
      <c r="B9">
        <v>2</v>
      </c>
      <c r="C9" t="s">
        <v>135</v>
      </c>
      <c r="D9">
        <v>10</v>
      </c>
      <c r="E9" t="s">
        <v>469</v>
      </c>
      <c r="F9">
        <v>20</v>
      </c>
      <c r="K9" t="s">
        <v>415</v>
      </c>
      <c r="L9" s="21">
        <v>2</v>
      </c>
      <c r="M9">
        <v>2</v>
      </c>
      <c r="N9" s="21">
        <v>4</v>
      </c>
    </row>
    <row r="10" spans="1:14" x14ac:dyDescent="0.25">
      <c r="A10" t="s">
        <v>415</v>
      </c>
      <c r="B10">
        <v>2</v>
      </c>
      <c r="C10" t="s">
        <v>135</v>
      </c>
      <c r="D10">
        <v>10</v>
      </c>
      <c r="E10" t="s">
        <v>469</v>
      </c>
      <c r="F10">
        <v>20</v>
      </c>
    </row>
    <row r="11" spans="1:14" x14ac:dyDescent="0.25">
      <c r="A11" t="s">
        <v>415</v>
      </c>
      <c r="B11">
        <v>1</v>
      </c>
      <c r="C11" t="s">
        <v>135</v>
      </c>
      <c r="D11">
        <v>10</v>
      </c>
      <c r="E11" t="s">
        <v>469</v>
      </c>
      <c r="F11">
        <v>10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3345" r:id="rId3" name="Button 1">
              <controlPr defaultSize="0" print="0" autoFill="0" autoPict="0" macro="[0]!AddItemToChart">
                <anchor moveWithCells="1" sizeWithCells="1">
                  <from>
                    <xdr:col>10</xdr:col>
                    <xdr:colOff>457200</xdr:colOff>
                    <xdr:row>0</xdr:row>
                    <xdr:rowOff>123825</xdr:rowOff>
                  </from>
                  <to>
                    <xdr:col>12</xdr:col>
                    <xdr:colOff>504825</xdr:colOff>
                    <xdr:row>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352" r:id="rId4" name="btnDelete7">
              <controlPr defaultSize="0" print="0" autoFill="0" autoPict="0" macro="[0]!DeleteItem">
                <anchor moveWithCells="1" sizeWithCells="1">
                  <from>
                    <xdr:col>6</xdr:col>
                    <xdr:colOff>19050</xdr:colOff>
                    <xdr:row>6</xdr:row>
                    <xdr:rowOff>19050</xdr:rowOff>
                  </from>
                  <to>
                    <xdr:col>6</xdr:col>
                    <xdr:colOff>228600</xdr:colOff>
                    <xdr:row>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353" r:id="rId5" name="Button 9">
              <controlPr defaultSize="0" print="0" autoFill="0" autoPict="0" macro="[0]!DeleteItem">
                <anchor moveWithCells="1" sizeWithCells="1">
                  <from>
                    <xdr:col>6</xdr:col>
                    <xdr:colOff>19050</xdr:colOff>
                    <xdr:row>7</xdr:row>
                    <xdr:rowOff>19050</xdr:rowOff>
                  </from>
                  <to>
                    <xdr:col>6</xdr:col>
                    <xdr:colOff>228600</xdr:colOff>
                    <xdr:row>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354" r:id="rId6" name="Button 10">
              <controlPr defaultSize="0" print="0" autoFill="0" autoPict="0" macro="[0]!DeleteItem">
                <anchor moveWithCells="1" sizeWithCells="1">
                  <from>
                    <xdr:col>6</xdr:col>
                    <xdr:colOff>19050</xdr:colOff>
                    <xdr:row>8</xdr:row>
                    <xdr:rowOff>19050</xdr:rowOff>
                  </from>
                  <to>
                    <xdr:col>6</xdr:col>
                    <xdr:colOff>228600</xdr:colOff>
                    <xdr:row>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355" r:id="rId7" name="Button 11">
              <controlPr defaultSize="0" print="0" autoFill="0" autoPict="0" macro="[0]!DeleteItem">
                <anchor moveWithCells="1" sizeWithCells="1">
                  <from>
                    <xdr:col>6</xdr:col>
                    <xdr:colOff>19050</xdr:colOff>
                    <xdr:row>9</xdr:row>
                    <xdr:rowOff>19050</xdr:rowOff>
                  </from>
                  <to>
                    <xdr:col>6</xdr:col>
                    <xdr:colOff>228600</xdr:colOff>
                    <xdr:row>10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356" r:id="rId8" name="Button 12">
              <controlPr defaultSize="0" print="0" autoFill="0" autoPict="0" macro="[0]!DeleteItem">
                <anchor moveWithCells="1" sizeWithCells="1">
                  <from>
                    <xdr:col>6</xdr:col>
                    <xdr:colOff>19050</xdr:colOff>
                    <xdr:row>10</xdr:row>
                    <xdr:rowOff>19050</xdr:rowOff>
                  </from>
                  <to>
                    <xdr:col>6</xdr:col>
                    <xdr:colOff>228600</xdr:colOff>
                    <xdr:row>11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26</vt:i4>
      </vt:variant>
      <vt:variant>
        <vt:lpstr>Named Ranges</vt:lpstr>
      </vt:variant>
      <vt:variant>
        <vt:i4>16</vt:i4>
      </vt:variant>
    </vt:vector>
  </HeadingPairs>
  <TitlesOfParts>
    <vt:vector size="42" baseType="lpstr">
      <vt:lpstr>TEST - Merge</vt:lpstr>
      <vt:lpstr>3MM ACM (2)</vt:lpstr>
      <vt:lpstr>VINYL COSTS</vt:lpstr>
      <vt:lpstr>QUOTE START</vt:lpstr>
      <vt:lpstr>LettersPriceTable</vt:lpstr>
      <vt:lpstr>Input Table</vt:lpstr>
      <vt:lpstr>VEHICLE</vt:lpstr>
      <vt:lpstr>SIGN</vt:lpstr>
      <vt:lpstr>LETTERS</vt:lpstr>
      <vt:lpstr>danworking</vt:lpstr>
      <vt:lpstr>ALU .125</vt:lpstr>
      <vt:lpstr>ALU .25</vt:lpstr>
      <vt:lpstr>6MM ACM</vt:lpstr>
      <vt:lpstr>FINAL QUOTE</vt:lpstr>
      <vt:lpstr>SUBSTRATE MASTER</vt:lpstr>
      <vt:lpstr>DECALS</vt:lpstr>
      <vt:lpstr>3MM FORMED</vt:lpstr>
      <vt:lpstr>ACRYLIC A</vt:lpstr>
      <vt:lpstr>ACRYLIC B</vt:lpstr>
      <vt:lpstr>ACRYLIC LETTERS</vt:lpstr>
      <vt:lpstr>3MM ACM</vt:lpstr>
      <vt:lpstr>LED</vt:lpstr>
      <vt:lpstr>ILLUMINATED</vt:lpstr>
      <vt:lpstr>NUTS BOLTS</vt:lpstr>
      <vt:lpstr>CHANNEL LETTERS</vt:lpstr>
      <vt:lpstr>dsa</vt:lpstr>
      <vt:lpstr>'3MM ACM'!Print_Area</vt:lpstr>
      <vt:lpstr>'3MM ACM (2)'!Print_Area</vt:lpstr>
      <vt:lpstr>'3MM FORMED'!Print_Area</vt:lpstr>
      <vt:lpstr>'6MM ACM'!Print_Area</vt:lpstr>
      <vt:lpstr>'ACRYLIC A'!Print_Area</vt:lpstr>
      <vt:lpstr>'ACRYLIC B'!Print_Area</vt:lpstr>
      <vt:lpstr>'ACRYLIC LETTERS'!Print_Area</vt:lpstr>
      <vt:lpstr>'ALU .125'!Print_Area</vt:lpstr>
      <vt:lpstr>'ALU .25'!Print_Area</vt:lpstr>
      <vt:lpstr>'CHANNEL LETTERS'!Print_Area</vt:lpstr>
      <vt:lpstr>DECALS!Print_Area</vt:lpstr>
      <vt:lpstr>ILLUMINATED!Print_Area</vt:lpstr>
      <vt:lpstr>LED!Print_Area</vt:lpstr>
      <vt:lpstr>'NUTS BOLTS'!Print_Area</vt:lpstr>
      <vt:lpstr>SIGN!Print_Area</vt:lpstr>
      <vt:lpstr>Vinyl_Substrate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Sarah 2019</dc:creator>
  <cp:lastModifiedBy>Dan Donnelly</cp:lastModifiedBy>
  <cp:lastPrinted>2023-09-29T22:49:32Z</cp:lastPrinted>
  <dcterms:created xsi:type="dcterms:W3CDTF">2020-11-28T05:16:51Z</dcterms:created>
  <dcterms:modified xsi:type="dcterms:W3CDTF">2023-09-29T22:51:01Z</dcterms:modified>
</cp:coreProperties>
</file>